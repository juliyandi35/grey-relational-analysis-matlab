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669\grey-relational-analysis-main\"/>
    </mc:Choice>
  </mc:AlternateContent>
  <xr:revisionPtr revIDLastSave="0" documentId="13_ncr:1_{7C86E0F5-954E-4F67-9425-6B4D59EA4A95}" xr6:coauthVersionLast="47" xr6:coauthVersionMax="47" xr10:uidLastSave="{00000000-0000-0000-0000-000000000000}"/>
  <bookViews>
    <workbookView xWindow="-110" yWindow="-110" windowWidth="19420" windowHeight="10300" xr2:uid="{733C8278-E193-4091-961B-E61E4BA0CD93}"/>
  </bookViews>
  <sheets>
    <sheet name="Data" sheetId="16" r:id="rId1"/>
    <sheet name="LENGKAP" sheetId="1" r:id="rId2"/>
    <sheet name="Pengeluaran Konsumsi 2018-2022" sheetId="13" r:id="rId3"/>
    <sheet name=" PENGGUNA PINJAMAN TEKFIN 2021" sheetId="10" r:id="rId4"/>
    <sheet name="PDRB" sheetId="6" r:id="rId5"/>
    <sheet name="PENGGUNA PINJAMAN TEKFIN 2022" sheetId="12" r:id="rId6"/>
    <sheet name="PEKERJA" sheetId="7" r:id="rId7"/>
    <sheet name="PENGANGGURAN" sheetId="8" r:id="rId8"/>
    <sheet name="TEKFIN BERIZIN" sheetId="14" r:id="rId9"/>
    <sheet name="PER KAPITA" sheetId="9" r:id="rId10"/>
    <sheet name="JUMLAH ADUAN" sheetId="15" r:id="rId11"/>
    <sheet name="Sheet2" sheetId="2" r:id="rId12"/>
    <sheet name="Sheet2 (2)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11" i="2"/>
  <c r="D10" i="2"/>
  <c r="D11" i="2"/>
  <c r="D14" i="2"/>
  <c r="D23" i="2" s="1"/>
  <c r="D33" i="2" s="1"/>
  <c r="D15" i="2"/>
  <c r="D24" i="2" s="1"/>
  <c r="D34" i="2" s="1"/>
  <c r="D16" i="2"/>
  <c r="D25" i="2" s="1"/>
  <c r="D35" i="2" s="1"/>
  <c r="D17" i="2"/>
  <c r="D26" i="2" s="1"/>
  <c r="E17" i="5"/>
  <c r="E26" i="5" s="1"/>
  <c r="E36" i="5" s="1"/>
  <c r="F17" i="5"/>
  <c r="F26" i="5" s="1"/>
  <c r="F36" i="5" s="1"/>
  <c r="D18" i="5"/>
  <c r="C17" i="5"/>
  <c r="C18" i="5"/>
  <c r="C27" i="5" s="1"/>
  <c r="C37" i="5" s="1"/>
  <c r="C19" i="5"/>
  <c r="I11" i="5"/>
  <c r="I12" i="5"/>
  <c r="I13" i="5"/>
  <c r="I10" i="5"/>
  <c r="D16" i="5" s="1"/>
  <c r="H11" i="5"/>
  <c r="H12" i="5"/>
  <c r="H13" i="5"/>
  <c r="H10" i="5"/>
  <c r="E18" i="5" s="1"/>
  <c r="E11" i="2"/>
  <c r="F11" i="2"/>
  <c r="E10" i="2"/>
  <c r="F10" i="2"/>
  <c r="E19" i="5" l="1"/>
  <c r="F16" i="5"/>
  <c r="F19" i="5"/>
  <c r="F28" i="5" s="1"/>
  <c r="D17" i="5"/>
  <c r="D19" i="5"/>
  <c r="E16" i="5"/>
  <c r="F18" i="5"/>
  <c r="C16" i="5"/>
  <c r="C25" i="5" s="1"/>
  <c r="C35" i="5" s="1"/>
  <c r="C15" i="2"/>
  <c r="C24" i="2" s="1"/>
  <c r="C34" i="2" s="1"/>
  <c r="C14" i="2"/>
  <c r="C23" i="2" s="1"/>
  <c r="C33" i="2" s="1"/>
  <c r="C17" i="2"/>
  <c r="C26" i="2" s="1"/>
  <c r="C36" i="2" s="1"/>
  <c r="C16" i="2"/>
  <c r="C25" i="2" s="1"/>
  <c r="C35" i="2" s="1"/>
  <c r="D36" i="2"/>
  <c r="D52" i="2" s="1"/>
  <c r="F16" i="2"/>
  <c r="F25" i="2" s="1"/>
  <c r="F35" i="2" s="1"/>
  <c r="E16" i="2"/>
  <c r="E25" i="2" s="1"/>
  <c r="E35" i="2" s="1"/>
  <c r="D27" i="5"/>
  <c r="D37" i="5" s="1"/>
  <c r="C28" i="5"/>
  <c r="F27" i="5"/>
  <c r="F37" i="5" s="1"/>
  <c r="D28" i="5"/>
  <c r="E28" i="5"/>
  <c r="D25" i="5"/>
  <c r="D35" i="5" s="1"/>
  <c r="E25" i="5"/>
  <c r="E35" i="5" s="1"/>
  <c r="F25" i="5"/>
  <c r="F35" i="5" s="1"/>
  <c r="E27" i="5"/>
  <c r="E37" i="5" s="1"/>
  <c r="C26" i="5"/>
  <c r="C36" i="5" s="1"/>
  <c r="D26" i="5"/>
  <c r="D36" i="5" s="1"/>
  <c r="F14" i="2"/>
  <c r="F23" i="2" s="1"/>
  <c r="F33" i="2" s="1"/>
  <c r="E15" i="2"/>
  <c r="E24" i="2" s="1"/>
  <c r="E34" i="2" s="1"/>
  <c r="E17" i="2"/>
  <c r="E26" i="2" s="1"/>
  <c r="E14" i="2"/>
  <c r="E23" i="2" s="1"/>
  <c r="E33" i="2" s="1"/>
  <c r="F17" i="2"/>
  <c r="F26" i="2" s="1"/>
  <c r="F15" i="2"/>
  <c r="F24" i="2" s="1"/>
  <c r="F34" i="2" s="1"/>
  <c r="C45" i="5" l="1"/>
  <c r="C51" i="2"/>
  <c r="C50" i="2"/>
  <c r="C49" i="2"/>
  <c r="C52" i="2"/>
  <c r="D50" i="2"/>
  <c r="D49" i="2"/>
  <c r="C54" i="2"/>
  <c r="D51" i="2"/>
  <c r="F36" i="2"/>
  <c r="F50" i="2" s="1"/>
  <c r="E36" i="2"/>
  <c r="E52" i="2" s="1"/>
  <c r="D38" i="5"/>
  <c r="E38" i="5"/>
  <c r="C38" i="5"/>
  <c r="F38" i="5"/>
  <c r="C44" i="5"/>
  <c r="C43" i="5"/>
  <c r="D54" i="2" l="1"/>
  <c r="E49" i="2"/>
  <c r="E51" i="2"/>
  <c r="E50" i="2"/>
  <c r="F52" i="2"/>
  <c r="F51" i="2"/>
  <c r="F49" i="2"/>
  <c r="C46" i="5"/>
  <c r="D46" i="5" s="1"/>
  <c r="D45" i="5"/>
  <c r="D43" i="5"/>
  <c r="D44" i="5"/>
  <c r="C48" i="5" l="1"/>
  <c r="F54" i="2"/>
  <c r="E54" i="2"/>
  <c r="C57" i="2" s="1"/>
  <c r="D57" i="2" l="1"/>
  <c r="E57" i="2"/>
  <c r="F57" i="2"/>
</calcChain>
</file>

<file path=xl/sharedStrings.xml><?xml version="1.0" encoding="utf-8"?>
<sst xmlns="http://schemas.openxmlformats.org/spreadsheetml/2006/main" count="327" uniqueCount="116">
  <si>
    <t>Tahun</t>
  </si>
  <si>
    <t>Jumlah Perusahaan Pinjaman Tekfin Berizin</t>
  </si>
  <si>
    <t>Jumlah Aduan</t>
  </si>
  <si>
    <t>Jumlah Pengangguran</t>
  </si>
  <si>
    <t>PDRB</t>
  </si>
  <si>
    <t>Jumlah Pengeluaran per Kapita</t>
  </si>
  <si>
    <t>Min</t>
  </si>
  <si>
    <t>Max</t>
  </si>
  <si>
    <t>Jumlah Pengguna Pinjaman Tekfin</t>
  </si>
  <si>
    <t>Jumlah Pekerja di Indonesia</t>
  </si>
  <si>
    <t xml:space="preserve">Jumlah Pekerja </t>
  </si>
  <si>
    <t>NB</t>
  </si>
  <si>
    <t>B</t>
  </si>
  <si>
    <t>Beneficial</t>
  </si>
  <si>
    <t>Non-Beneficial/Defect</t>
  </si>
  <si>
    <t>KETERANGAN:</t>
  </si>
  <si>
    <r>
      <t xml:space="preserve">Untuk </t>
    </r>
    <r>
      <rPr>
        <b/>
        <sz val="11"/>
        <color rgb="FFFF0000"/>
        <rFont val="Calibri"/>
        <family val="2"/>
        <scheme val="minor"/>
      </rPr>
      <t>data non beneficial / defect</t>
    </r>
    <r>
      <rPr>
        <sz val="11"/>
        <color theme="1"/>
        <rFont val="Calibri"/>
        <family val="2"/>
        <scheme val="minor"/>
      </rPr>
      <t>, semakin besar nilai data, semakin besar rangenya, maka semakin berkualitas data tersebut.</t>
    </r>
  </si>
  <si>
    <r>
      <t xml:space="preserve">Untuk </t>
    </r>
    <r>
      <rPr>
        <b/>
        <sz val="11"/>
        <color rgb="FFFF0000"/>
        <rFont val="Calibri"/>
        <family val="2"/>
        <scheme val="minor"/>
      </rPr>
      <t>data beneficial</t>
    </r>
    <r>
      <rPr>
        <sz val="11"/>
        <color theme="1"/>
        <rFont val="Calibri"/>
        <family val="2"/>
        <scheme val="minor"/>
      </rPr>
      <t>, semakin besar nilai data, semakin besar rangenya, maka semakin berkualitas data tersebut.</t>
    </r>
  </si>
  <si>
    <t>Deviation Sequence</t>
  </si>
  <si>
    <t>DC = Distinguished Coefficent</t>
  </si>
  <si>
    <t>DC-</t>
  </si>
  <si>
    <r>
      <t>Grey Relational Coefficient</t>
    </r>
    <r>
      <rPr>
        <b/>
        <sz val="12"/>
        <color theme="1"/>
        <rFont val="Times New Roman"/>
        <family val="1"/>
      </rPr>
      <t xml:space="preserve"> (GRC) </t>
    </r>
  </si>
  <si>
    <t>GRG</t>
  </si>
  <si>
    <t>Mean GRG</t>
  </si>
  <si>
    <t>RANK</t>
  </si>
  <si>
    <t>MAX</t>
  </si>
  <si>
    <t>MIN</t>
  </si>
  <si>
    <t>HASIL</t>
  </si>
  <si>
    <t>Xi(K)</t>
  </si>
  <si>
    <t xml:space="preserve">Grey Relational Coefficient (GRC) </t>
  </si>
  <si>
    <r>
      <rPr>
        <b/>
        <sz val="14"/>
        <color theme="1"/>
        <rFont val="Calibri"/>
        <family val="2"/>
        <scheme val="minor"/>
      </rPr>
      <t>Grey Relational Grade (GRG)</t>
    </r>
    <r>
      <rPr>
        <sz val="14"/>
        <color theme="1"/>
        <rFont val="Calibri"/>
        <family val="2"/>
        <scheme val="minor"/>
      </rPr>
      <t xml:space="preserve"> </t>
    </r>
  </si>
  <si>
    <t>Positif Covid 19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</si>
  <si>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</si>
  <si>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</si>
  <si>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</si>
  <si>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</si>
  <si>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</si>
  <si>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</si>
  <si>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</si>
  <si>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</si>
  <si>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</si>
  <si>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</si>
  <si>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</si>
  <si>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</si>
  <si>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</si>
  <si>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</si>
  <si>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</si>
  <si>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</si>
  <si>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</si>
  <si>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</si>
  <si>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</si>
  <si>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</si>
  <si>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</si>
  <si>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</si>
  <si>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</si>
  <si>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</si>
  <si>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</si>
  <si>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</si>
  <si>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</si>
  <si>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</si>
  <si>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</si>
  <si>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</si>
  <si>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</si>
  <si>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</si>
  <si>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</si>
  <si>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</si>
  <si>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</si>
  <si>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INDONESIA</t>
  </si>
  <si>
    <t>35,570,500</t>
  </si>
  <si>
    <t>Jumlah</t>
  </si>
  <si>
    <t>KEPULAUAN RIAU</t>
  </si>
  <si>
    <t>D I YOGYAKARTA</t>
  </si>
  <si>
    <t>Jumlah Rekening Penerima Pinjaman Aktif (entitas)</t>
  </si>
  <si>
    <t xml:space="preserve">    a. Jawa</t>
  </si>
  <si>
    <t>1. Banten</t>
  </si>
  <si>
    <t>2. DKI Jakarta</t>
  </si>
  <si>
    <t>3. Jawa Barat</t>
  </si>
  <si>
    <t>4. Jawa Tengah</t>
  </si>
  <si>
    <t>5. DI Yogyakarta</t>
  </si>
  <si>
    <t>6. Jawa Timur</t>
  </si>
  <si>
    <t xml:space="preserve">    b. Luar Jawa</t>
  </si>
  <si>
    <t>1. Nangroe Aceh Darussalam</t>
  </si>
  <si>
    <t>2. Sumatera Utara</t>
  </si>
  <si>
    <t>3. Sumatera Barat</t>
  </si>
  <si>
    <t>4. Riau</t>
  </si>
  <si>
    <t>5. Kepulauan Riau</t>
  </si>
  <si>
    <t>6. Kepualauan Bangka Belitung</t>
  </si>
  <si>
    <t>7. Jambi</t>
  </si>
  <si>
    <t>8. Sumatera Selatan</t>
  </si>
  <si>
    <t>9. Bengkulu</t>
  </si>
  <si>
    <t>10. Lampung</t>
  </si>
  <si>
    <t>11. Kalimantan Barat</t>
  </si>
  <si>
    <t>12. Kalimantan Tengah</t>
  </si>
  <si>
    <t>13. Kalimantan Utara</t>
  </si>
  <si>
    <t>14. Kalimantan Timur</t>
  </si>
  <si>
    <t>15. Kalimantan Selatan</t>
  </si>
  <si>
    <t>16. Sulawesi Utara</t>
  </si>
  <si>
    <t>17. Gorontalo</t>
  </si>
  <si>
    <t>18. Sulawesi Tengah</t>
  </si>
  <si>
    <t>19. Sulawesi Barat</t>
  </si>
  <si>
    <t>20. Sulawesi Selatan</t>
  </si>
  <si>
    <t>21. Sulawesi Tenggara</t>
  </si>
  <si>
    <t>22. Bali</t>
  </si>
  <si>
    <t>23. Nusa Tenggara Barat</t>
  </si>
  <si>
    <t>24. Nusa Tenggara Timur</t>
  </si>
  <si>
    <t>25. Maluku Utara</t>
  </si>
  <si>
    <t>26. Maluku</t>
  </si>
  <si>
    <t>27. Papua Barat</t>
  </si>
  <si>
    <t>28. Papua</t>
  </si>
  <si>
    <t>JUMLAH</t>
  </si>
  <si>
    <t>Note:</t>
  </si>
  <si>
    <t>* Terdapat revisi data pada bulan Januari dan Februari 2022 dikarenakan adanya perubahan format pelaporan</t>
  </si>
  <si>
    <r>
      <t xml:space="preserve">Lokasi / </t>
    </r>
    <r>
      <rPr>
        <b/>
        <i/>
        <sz val="12"/>
        <rFont val="Calibri"/>
        <family val="2"/>
        <scheme val="minor"/>
      </rPr>
      <t>Locations</t>
    </r>
  </si>
  <si>
    <t>Provinsi (PDRB)</t>
  </si>
  <si>
    <t>34 PROVINSI</t>
  </si>
  <si>
    <t>PENGELUARAN KONSUMSI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</si>
</sst>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.000"/>
    <numFmt numFmtId="165" formatCode="_(* #,##0_);_(* \(#,##0\);_(* &quot;-&quot;_);_(@_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4"/>
      <color rgb="FF000000"/>
      <name val="Montserrat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0"/>
      <color theme="1"/>
      <name val="Bookman Old Style"/>
      <family val="1"/>
    </font>
    <font>
      <sz val="12"/>
      <color theme="1"/>
      <name val="Calibri"/>
      <family val="2"/>
      <scheme val="minor"/>
    </font>
    <font>
      <sz val="12"/>
      <color rgb="FF111111"/>
      <name val="Calibri"/>
      <family val="2"/>
      <scheme val="minor"/>
    </font>
    <font>
      <b/>
      <sz val="12"/>
      <color rgb="FF1111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6"/>
      <name val="Arial"/>
      <family val="2"/>
    </font>
    <font>
      <sz val="7"/>
      <color theme="1"/>
      <name val="Arial"/>
      <family val="2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5">
    <xf numFmtId="0" fontId="0" fillId="0" borderId="0"/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5" fillId="0" borderId="0"/>
    <xf numFmtId="0" fontId="16" fillId="0" borderId="0"/>
  </cellStyleXfs>
  <cellXfs count="15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vertical="center" wrapText="1"/>
    </xf>
    <xf numFmtId="3" fontId="0" fillId="0" borderId="0" xfId="0" applyNumberFormat="1"/>
    <xf numFmtId="3" fontId="2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3" fontId="5" fillId="3" borderId="5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" fontId="0" fillId="3" borderId="5" xfId="0" applyNumberFormat="1" applyFill="1" applyBorder="1"/>
    <xf numFmtId="3" fontId="3" fillId="3" borderId="4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5" borderId="0" xfId="0" applyFont="1" applyFill="1"/>
    <xf numFmtId="0" fontId="1" fillId="0" borderId="6" xfId="0" applyFont="1" applyBorder="1" applyAlignment="1">
      <alignment horizontal="center" vertical="center"/>
    </xf>
    <xf numFmtId="3" fontId="0" fillId="0" borderId="6" xfId="0" applyNumberFormat="1" applyBorder="1"/>
    <xf numFmtId="0" fontId="0" fillId="0" borderId="6" xfId="0" applyBorder="1"/>
    <xf numFmtId="0" fontId="7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/>
    <xf numFmtId="3" fontId="4" fillId="6" borderId="4" xfId="0" applyNumberFormat="1" applyFont="1" applyFill="1" applyBorder="1" applyAlignment="1">
      <alignment horizontal="center" vertical="center" wrapText="1"/>
    </xf>
    <xf numFmtId="3" fontId="4" fillId="7" borderId="4" xfId="0" applyNumberFormat="1" applyFont="1" applyFill="1" applyBorder="1" applyAlignment="1">
      <alignment horizontal="center" vertical="center" wrapText="1"/>
    </xf>
    <xf numFmtId="3" fontId="5" fillId="6" borderId="5" xfId="0" applyNumberFormat="1" applyFont="1" applyFill="1" applyBorder="1"/>
    <xf numFmtId="0" fontId="8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/>
    <xf numFmtId="0" fontId="9" fillId="0" borderId="6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3" borderId="5" xfId="1" applyNumberFormat="1" applyFont="1" applyFill="1" applyBorder="1" applyAlignment="1">
      <alignment horizontal="center" vertical="center" wrapText="1"/>
    </xf>
    <xf numFmtId="3" fontId="14" fillId="3" borderId="5" xfId="1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6" fillId="0" borderId="0" xfId="0" applyFont="1"/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164" fontId="16" fillId="10" borderId="5" xfId="0" applyNumberFormat="1" applyFont="1" applyFill="1" applyBorder="1" applyAlignment="1">
      <alignment horizontal="right"/>
    </xf>
    <xf numFmtId="164" fontId="17" fillId="10" borderId="5" xfId="0" applyNumberFormat="1" applyFont="1" applyFill="1" applyBorder="1" applyAlignment="1">
      <alignment horizontal="right"/>
    </xf>
    <xf numFmtId="164" fontId="17" fillId="10" borderId="5" xfId="0" applyNumberFormat="1" applyFont="1" applyFill="1" applyBorder="1" applyAlignment="1">
      <alignment horizontal="right" vertical="center" wrapText="1"/>
    </xf>
    <xf numFmtId="164" fontId="18" fillId="10" borderId="5" xfId="0" applyNumberFormat="1" applyFont="1" applyFill="1" applyBorder="1" applyAlignment="1">
      <alignment horizontal="right"/>
    </xf>
    <xf numFmtId="0" fontId="17" fillId="0" borderId="5" xfId="0" applyFont="1" applyBorder="1"/>
    <xf numFmtId="0" fontId="18" fillId="0" borderId="5" xfId="0" applyFont="1" applyBorder="1"/>
    <xf numFmtId="0" fontId="19" fillId="0" borderId="5" xfId="0" applyFont="1" applyBorder="1" applyAlignment="1">
      <alignment horizontal="center" vertical="center" wrapText="1"/>
    </xf>
    <xf numFmtId="3" fontId="16" fillId="10" borderId="5" xfId="0" applyNumberFormat="1" applyFont="1" applyFill="1" applyBorder="1" applyAlignment="1">
      <alignment horizontal="center" vertical="center" wrapText="1"/>
    </xf>
    <xf numFmtId="3" fontId="17" fillId="10" borderId="5" xfId="0" applyNumberFormat="1" applyFont="1" applyFill="1" applyBorder="1"/>
    <xf numFmtId="3" fontId="18" fillId="10" borderId="5" xfId="0" applyNumberFormat="1" applyFont="1" applyFill="1" applyBorder="1"/>
    <xf numFmtId="3" fontId="19" fillId="10" borderId="5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10" fontId="20" fillId="0" borderId="0" xfId="2" applyNumberFormat="1" applyFont="1"/>
    <xf numFmtId="0" fontId="3" fillId="3" borderId="0" xfId="0" applyFont="1" applyFill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41" fontId="15" fillId="0" borderId="5" xfId="1" applyFont="1" applyBorder="1"/>
    <xf numFmtId="0" fontId="3" fillId="0" borderId="12" xfId="0" applyFont="1" applyBorder="1" applyAlignment="1">
      <alignment horizontal="center" vertical="center" wrapText="1"/>
    </xf>
    <xf numFmtId="0" fontId="23" fillId="0" borderId="0" xfId="0" applyFont="1"/>
    <xf numFmtId="17" fontId="24" fillId="11" borderId="5" xfId="0" applyNumberFormat="1" applyFont="1" applyFill="1" applyBorder="1" applyAlignment="1">
      <alignment horizontal="center" vertical="center" wrapText="1"/>
    </xf>
    <xf numFmtId="0" fontId="16" fillId="0" borderId="5" xfId="0" applyFont="1" applyBorder="1"/>
    <xf numFmtId="0" fontId="24" fillId="0" borderId="5" xfId="0" applyFont="1" applyBorder="1" applyAlignment="1">
      <alignment horizontal="left" vertical="center"/>
    </xf>
    <xf numFmtId="0" fontId="24" fillId="0" borderId="5" xfId="0" applyFont="1" applyBorder="1"/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right"/>
    </xf>
    <xf numFmtId="0" fontId="24" fillId="0" borderId="5" xfId="0" applyFont="1" applyBorder="1" applyAlignment="1">
      <alignment horizontal="center" vertical="center"/>
    </xf>
    <xf numFmtId="41" fontId="24" fillId="10" borderId="5" xfId="0" applyNumberFormat="1" applyFont="1" applyFill="1" applyBorder="1" applyAlignment="1">
      <alignment horizontal="right" vertical="center" wrapText="1"/>
    </xf>
    <xf numFmtId="41" fontId="26" fillId="10" borderId="5" xfId="0" applyNumberFormat="1" applyFont="1" applyFill="1" applyBorder="1" applyAlignment="1">
      <alignment horizontal="right" vertical="center" wrapText="1"/>
    </xf>
    <xf numFmtId="0" fontId="26" fillId="0" borderId="5" xfId="0" applyFont="1" applyBorder="1"/>
    <xf numFmtId="165" fontId="24" fillId="10" borderId="5" xfId="0" applyNumberFormat="1" applyFont="1" applyFill="1" applyBorder="1" applyAlignment="1">
      <alignment horizontal="right" vertical="center" wrapText="1"/>
    </xf>
    <xf numFmtId="165" fontId="24" fillId="0" borderId="5" xfId="0" applyNumberFormat="1" applyFont="1" applyBorder="1"/>
    <xf numFmtId="165" fontId="26" fillId="10" borderId="5" xfId="0" applyNumberFormat="1" applyFont="1" applyFill="1" applyBorder="1" applyAlignment="1">
      <alignment horizontal="right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3" fontId="16" fillId="9" borderId="5" xfId="0" applyNumberFormat="1" applyFont="1" applyFill="1" applyBorder="1" applyAlignment="1">
      <alignment horizontal="right" vertical="center" wrapText="1"/>
    </xf>
    <xf numFmtId="3" fontId="16" fillId="9" borderId="5" xfId="0" applyNumberFormat="1" applyFont="1" applyFill="1" applyBorder="1"/>
    <xf numFmtId="3" fontId="16" fillId="12" borderId="5" xfId="0" applyNumberFormat="1" applyFont="1" applyFill="1" applyBorder="1"/>
    <xf numFmtId="3" fontId="27" fillId="12" borderId="5" xfId="0" applyNumberFormat="1" applyFont="1" applyFill="1" applyBorder="1"/>
    <xf numFmtId="3" fontId="16" fillId="12" borderId="5" xfId="4" applyNumberFormat="1" applyFill="1" applyBorder="1"/>
    <xf numFmtId="0" fontId="19" fillId="0" borderId="5" xfId="0" applyFont="1" applyBorder="1"/>
    <xf numFmtId="3" fontId="28" fillId="12" borderId="5" xfId="0" applyNumberFormat="1" applyFont="1" applyFill="1" applyBorder="1"/>
    <xf numFmtId="3" fontId="19" fillId="12" borderId="5" xfId="4" applyNumberFormat="1" applyFont="1" applyFill="1" applyBorder="1"/>
    <xf numFmtId="3" fontId="19" fillId="12" borderId="5" xfId="0" applyNumberFormat="1" applyFont="1" applyFill="1" applyBorder="1"/>
    <xf numFmtId="3" fontId="28" fillId="13" borderId="5" xfId="0" applyNumberFormat="1" applyFont="1" applyFill="1" applyBorder="1"/>
    <xf numFmtId="0" fontId="2" fillId="9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7" fontId="24" fillId="11" borderId="5" xfId="0" applyNumberFormat="1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22" fillId="11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 vertical="center"/>
    </xf>
    <xf numFmtId="0" fontId="3" fillId="2" borderId="5" xfId="0" applyFont="1" applyFill="1" applyBorder="1"/>
    <xf numFmtId="0" fontId="4" fillId="7" borderId="5" xfId="0" applyFont="1" applyFill="1" applyBorder="1"/>
    <xf numFmtId="0" fontId="3" fillId="14" borderId="2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vertical="center"/>
    </xf>
    <xf numFmtId="0" fontId="3" fillId="14" borderId="5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5" xfId="0" applyFont="1" applyFill="1" applyBorder="1"/>
    <xf numFmtId="0" fontId="4" fillId="14" borderId="5" xfId="0" applyFont="1" applyFill="1" applyBorder="1"/>
    <xf numFmtId="0" fontId="3" fillId="2" borderId="5" xfId="0" applyFont="1" applyFill="1" applyBorder="1" applyAlignment="1">
      <alignment vertical="center"/>
    </xf>
  </cellXfs>
  <cellStyles count="5">
    <cellStyle name="Comma [0]" xfId="1" builtinId="6"/>
    <cellStyle name="Normal" xfId="0" builtinId="0"/>
    <cellStyle name="Normal 2" xfId="3" xr:uid="{1DD4D764-15E9-40F2-94DC-57CD9D5FC79E}"/>
    <cellStyle name="Normal 3" xfId="4" xr:uid="{F6260474-ABD5-406C-BEC9-D47EE5DBCC6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746760</xdr:colOff>
      <xdr:row>14</xdr:row>
      <xdr:rowOff>76200</xdr:rowOff>
    </xdr:from>
    <xdr:to>
      <xdr:col>10</xdr:col>
      <xdr:colOff>610126</xdr:colOff>
      <xdr:row>16</xdr:row>
      <xdr:rowOff>144780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9C75D35-026C-3D32-A66A-DFCA03EFFF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107680" y="3528060"/>
          <a:ext cx="2073166" cy="44958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14</xdr:row>
      <xdr:rowOff>152400</xdr:rowOff>
    </xdr:from>
    <xdr:to>
      <xdr:col>14</xdr:col>
      <xdr:colOff>114826</xdr:colOff>
      <xdr:row>16</xdr:row>
      <xdr:rowOff>160020</xdr:rowOff>
    </xdr:to>
    <xdr:pic>
      <xdr:nvPicPr>
        <xdr:cNvPr id="3" name="image18.png">
          <a:extLst>
            <a:ext uri="{FF2B5EF4-FFF2-40B4-BE49-F238E27FC236}">
              <a16:creationId xmlns:a16="http://schemas.microsoft.com/office/drawing/2014/main" id="{4969229B-F64F-4ABF-3928-F6C8FE6EB9F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294620" y="3649980"/>
          <a:ext cx="2012206" cy="38862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23</xdr:row>
      <xdr:rowOff>22860</xdr:rowOff>
    </xdr:from>
    <xdr:to>
      <xdr:col>10</xdr:col>
      <xdr:colOff>396766</xdr:colOff>
      <xdr:row>23</xdr:row>
      <xdr:rowOff>175260</xdr:rowOff>
    </xdr:to>
    <xdr:pic>
      <xdr:nvPicPr>
        <xdr:cNvPr id="5" name="image11.png">
          <a:extLst>
            <a:ext uri="{FF2B5EF4-FFF2-40B4-BE49-F238E27FC236}">
              <a16:creationId xmlns:a16="http://schemas.microsoft.com/office/drawing/2014/main" id="{FE342007-380A-4797-8D17-269CC1CDA9A8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8321040" y="5181600"/>
          <a:ext cx="1646446" cy="15240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31</xdr:row>
      <xdr:rowOff>76200</xdr:rowOff>
    </xdr:from>
    <xdr:to>
      <xdr:col>12</xdr:col>
      <xdr:colOff>526</xdr:colOff>
      <xdr:row>31</xdr:row>
      <xdr:rowOff>594360</xdr:rowOff>
    </xdr:to>
    <xdr:pic>
      <xdr:nvPicPr>
        <xdr:cNvPr id="6" name="image10.png">
          <a:extLst>
            <a:ext uri="{FF2B5EF4-FFF2-40B4-BE49-F238E27FC236}">
              <a16:creationId xmlns:a16="http://schemas.microsoft.com/office/drawing/2014/main" id="{9FBFB31F-533F-72FE-8708-3C460F0987E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8770620" y="6751320"/>
          <a:ext cx="2088406" cy="518160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46</xdr:row>
      <xdr:rowOff>182880</xdr:rowOff>
    </xdr:from>
    <xdr:to>
      <xdr:col>8</xdr:col>
      <xdr:colOff>351187</xdr:colOff>
      <xdr:row>48</xdr:row>
      <xdr:rowOff>68639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8898C3-5C70-2725-C2F2-BCD8269F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0380" y="10066020"/>
          <a:ext cx="1631347" cy="678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12</xdr:col>
      <xdr:colOff>243840</xdr:colOff>
      <xdr:row>2</xdr:row>
      <xdr:rowOff>449580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D54D718-69C2-400B-9EC5-E507096CDC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80120" y="381000"/>
          <a:ext cx="2072640" cy="4495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12</xdr:col>
      <xdr:colOff>182880</xdr:colOff>
      <xdr:row>6</xdr:row>
      <xdr:rowOff>182880</xdr:rowOff>
    </xdr:to>
    <xdr:pic>
      <xdr:nvPicPr>
        <xdr:cNvPr id="3" name="image18.png">
          <a:extLst>
            <a:ext uri="{FF2B5EF4-FFF2-40B4-BE49-F238E27FC236}">
              <a16:creationId xmlns:a16="http://schemas.microsoft.com/office/drawing/2014/main" id="{61DAA56D-2E85-424C-B082-CCDE768CF1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580120" y="1744980"/>
          <a:ext cx="2011680" cy="388620"/>
        </a:xfrm>
        <a:prstGeom prst="rect">
          <a:avLst/>
        </a:prstGeom>
      </xdr:spPr>
    </xdr:pic>
    <xdr:clientData/>
  </xdr:twoCellAnchor>
  <xdr:twoCellAnchor editAs="oneCell">
    <xdr:from>
      <xdr:col>8</xdr:col>
      <xdr:colOff>586740</xdr:colOff>
      <xdr:row>25</xdr:row>
      <xdr:rowOff>53340</xdr:rowOff>
    </xdr:from>
    <xdr:to>
      <xdr:col>12</xdr:col>
      <xdr:colOff>83820</xdr:colOff>
      <xdr:row>28</xdr:row>
      <xdr:rowOff>0</xdr:rowOff>
    </xdr:to>
    <xdr:pic>
      <xdr:nvPicPr>
        <xdr:cNvPr id="5" name="image10.png">
          <a:extLst>
            <a:ext uri="{FF2B5EF4-FFF2-40B4-BE49-F238E27FC236}">
              <a16:creationId xmlns:a16="http://schemas.microsoft.com/office/drawing/2014/main" id="{B8FA3141-4C52-42EC-BD17-EE00F8356E81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8557260" y="5212080"/>
          <a:ext cx="2087880" cy="51816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11</xdr:col>
      <xdr:colOff>411621</xdr:colOff>
      <xdr:row>37</xdr:row>
      <xdr:rowOff>106739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D3D842-F181-435D-9C79-35BC897C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0120" y="7277100"/>
          <a:ext cx="1630821" cy="678239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16</xdr:row>
      <xdr:rowOff>0</xdr:rowOff>
    </xdr:from>
    <xdr:ext cx="2072640" cy="449580"/>
    <xdr:pic>
      <xdr:nvPicPr>
        <xdr:cNvPr id="8" name="image1.png">
          <a:extLst>
            <a:ext uri="{FF2B5EF4-FFF2-40B4-BE49-F238E27FC236}">
              <a16:creationId xmlns:a16="http://schemas.microsoft.com/office/drawing/2014/main" id="{5A4BCE64-09B2-4207-9E91-CC3FF37B3E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884920" y="381000"/>
          <a:ext cx="2072640" cy="44958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2011680" cy="388620"/>
    <xdr:pic>
      <xdr:nvPicPr>
        <xdr:cNvPr id="9" name="image18.png">
          <a:extLst>
            <a:ext uri="{FF2B5EF4-FFF2-40B4-BE49-F238E27FC236}">
              <a16:creationId xmlns:a16="http://schemas.microsoft.com/office/drawing/2014/main" id="{8B1D4F21-3F2E-4A74-BF45-EA44B2D649D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884920" y="1744980"/>
          <a:ext cx="2011680" cy="388620"/>
        </a:xfrm>
        <a:prstGeom prst="rect">
          <a:avLst/>
        </a:prstGeom>
      </xdr:spPr>
    </xdr:pic>
    <xdr:clientData/>
  </xdr:oneCellAnchor>
  <xdr:twoCellAnchor editAs="oneCell">
    <xdr:from>
      <xdr:col>7</xdr:col>
      <xdr:colOff>426720</xdr:colOff>
      <xdr:row>16</xdr:row>
      <xdr:rowOff>190500</xdr:rowOff>
    </xdr:from>
    <xdr:to>
      <xdr:col>12</xdr:col>
      <xdr:colOff>114563</xdr:colOff>
      <xdr:row>16</xdr:row>
      <xdr:rowOff>434361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3A2307F-8C60-2C97-4D23-D225B4BB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7640" y="6065520"/>
          <a:ext cx="3040643" cy="243861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15</xdr:row>
      <xdr:rowOff>0</xdr:rowOff>
    </xdr:from>
    <xdr:ext cx="1645920" cy="152400"/>
    <xdr:pic>
      <xdr:nvPicPr>
        <xdr:cNvPr id="12" name="image11.png">
          <a:extLst>
            <a:ext uri="{FF2B5EF4-FFF2-40B4-BE49-F238E27FC236}">
              <a16:creationId xmlns:a16="http://schemas.microsoft.com/office/drawing/2014/main" id="{241BABD4-1BA8-409D-BD86-00D2D53F042C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122920" y="5669280"/>
          <a:ext cx="1645920" cy="152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1F4D-9021-44FA-A870-8BA77AE85113}">
  <dimension ref="A1:J66"/>
  <sheetViews>
    <sheetView tabSelected="1" workbookViewId="0">
      <selection activeCell="B4" sqref="B4"/>
    </sheetView>
  </sheetViews>
  <sheetFormatPr defaultRowHeight="14.5" x14ac:dyDescent="0.35"/>
  <cols>
    <col min="1" max="1" width="6.81640625" bestFit="1" customWidth="1"/>
    <col min="2" max="2" width="40.08984375" bestFit="1" customWidth="1"/>
    <col min="3" max="3" width="20.08984375" bestFit="1" customWidth="1"/>
    <col min="4" max="4" width="15.08984375" bestFit="1" customWidth="1"/>
    <col min="5" max="5" width="28.6328125" bestFit="1" customWidth="1"/>
    <col min="6" max="6" width="31.54296875" bestFit="1" customWidth="1"/>
    <col min="7" max="7" width="25.7265625" bestFit="1" customWidth="1"/>
    <col min="8" max="8" width="9.54296875" style="10" bestFit="1" customWidth="1"/>
    <col min="9" max="9" width="28.453125" bestFit="1" customWidth="1"/>
    <col min="10" max="10" width="13.453125" bestFit="1" customWidth="1"/>
  </cols>
  <sheetData>
    <row r="1" spans="1:10" ht="16" thickBot="1" x14ac:dyDescent="0.4">
      <c r="A1" s="126" t="s">
        <v>0</v>
      </c>
      <c r="B1" s="127" t="s">
        <v>1</v>
      </c>
      <c r="C1" s="128" t="s">
        <v>3</v>
      </c>
      <c r="D1" s="141" t="s">
        <v>31</v>
      </c>
      <c r="E1" s="141" t="s">
        <v>115</v>
      </c>
      <c r="F1" s="140" t="s">
        <v>8</v>
      </c>
      <c r="G1" s="146" t="s">
        <v>9</v>
      </c>
      <c r="H1" s="146" t="s">
        <v>4</v>
      </c>
      <c r="I1" s="148" t="s">
        <v>5</v>
      </c>
      <c r="J1" s="146" t="s">
        <v>2</v>
      </c>
    </row>
    <row r="2" spans="1:10" ht="16" thickBot="1" x14ac:dyDescent="0.4">
      <c r="A2" s="130">
        <v>2019</v>
      </c>
      <c r="B2" s="131">
        <v>25</v>
      </c>
      <c r="C2" s="129">
        <v>7104420</v>
      </c>
      <c r="D2" s="142">
        <v>0</v>
      </c>
      <c r="E2" s="145">
        <v>5911848356</v>
      </c>
      <c r="F2" s="152">
        <v>18569123</v>
      </c>
      <c r="G2" s="149">
        <v>128755270</v>
      </c>
      <c r="H2" s="150">
        <v>41021610</v>
      </c>
      <c r="I2" s="151">
        <v>11299</v>
      </c>
      <c r="J2" s="147">
        <v>96</v>
      </c>
    </row>
    <row r="3" spans="1:10" ht="16" thickBot="1" x14ac:dyDescent="0.4">
      <c r="A3" s="130">
        <v>2020</v>
      </c>
      <c r="B3" s="131">
        <v>37</v>
      </c>
      <c r="C3" s="129">
        <v>9767750</v>
      </c>
      <c r="D3" s="143">
        <v>5713365</v>
      </c>
      <c r="E3" s="145">
        <v>5803284241</v>
      </c>
      <c r="F3" s="152">
        <v>43561362</v>
      </c>
      <c r="G3" s="149">
        <v>128454180</v>
      </c>
      <c r="H3" s="150">
        <v>39778680</v>
      </c>
      <c r="I3" s="151">
        <v>11013</v>
      </c>
      <c r="J3" s="147">
        <v>61</v>
      </c>
    </row>
    <row r="4" spans="1:10" ht="16" thickBot="1" x14ac:dyDescent="0.4">
      <c r="A4" s="130">
        <v>2021</v>
      </c>
      <c r="B4" s="131">
        <v>103</v>
      </c>
      <c r="C4" s="129">
        <v>9102050</v>
      </c>
      <c r="D4" s="144">
        <v>4261759</v>
      </c>
      <c r="E4" s="145">
        <v>5935279261</v>
      </c>
      <c r="F4" s="152">
        <v>17287241</v>
      </c>
      <c r="G4" s="149">
        <v>131050520</v>
      </c>
      <c r="H4" s="150">
        <v>40780310</v>
      </c>
      <c r="I4" s="151">
        <v>11156</v>
      </c>
      <c r="J4" s="147">
        <v>119</v>
      </c>
    </row>
    <row r="5" spans="1:10" ht="16" thickBot="1" x14ac:dyDescent="0.4">
      <c r="A5" s="130">
        <v>2022</v>
      </c>
      <c r="B5" s="131">
        <v>102</v>
      </c>
      <c r="C5" s="129">
        <v>8425930</v>
      </c>
      <c r="D5" s="144">
        <v>6716124</v>
      </c>
      <c r="E5" s="145">
        <v>6238781151</v>
      </c>
      <c r="F5" s="152">
        <v>19717096</v>
      </c>
      <c r="G5" s="149">
        <v>135296710</v>
      </c>
      <c r="H5" s="150">
        <v>42463780</v>
      </c>
      <c r="I5" s="151">
        <v>11479</v>
      </c>
      <c r="J5" s="147">
        <v>127</v>
      </c>
    </row>
    <row r="6" spans="1:10" x14ac:dyDescent="0.35">
      <c r="D6" s="10"/>
    </row>
    <row r="30" spans="8:10" ht="15" x14ac:dyDescent="0.35">
      <c r="H30" s="11"/>
      <c r="J30" s="9"/>
    </row>
    <row r="33" spans="8:10" x14ac:dyDescent="0.35">
      <c r="H33" s="12"/>
      <c r="J33" s="8"/>
    </row>
    <row r="37" spans="8:10" x14ac:dyDescent="0.35">
      <c r="H37" s="12"/>
      <c r="J37" s="8"/>
    </row>
    <row r="46" spans="8:10" x14ac:dyDescent="0.35">
      <c r="H46"/>
    </row>
    <row r="47" spans="8:10" x14ac:dyDescent="0.35">
      <c r="H47"/>
    </row>
    <row r="61" spans="1:2" ht="15" thickBot="1" x14ac:dyDescent="0.4"/>
    <row r="62" spans="1:2" ht="15.5" thickBot="1" x14ac:dyDescent="0.4">
      <c r="A62" s="1" t="s">
        <v>0</v>
      </c>
      <c r="B62" s="2" t="s">
        <v>3</v>
      </c>
    </row>
    <row r="63" spans="1:2" ht="16" thickBot="1" x14ac:dyDescent="0.4">
      <c r="A63" s="6">
        <v>2019</v>
      </c>
      <c r="B63" s="5">
        <v>7104420</v>
      </c>
    </row>
    <row r="64" spans="1:2" ht="16" thickBot="1" x14ac:dyDescent="0.4">
      <c r="A64" s="6">
        <v>2020</v>
      </c>
      <c r="B64" s="5">
        <v>9767750</v>
      </c>
    </row>
    <row r="65" spans="1:2" ht="16" thickBot="1" x14ac:dyDescent="0.4">
      <c r="A65" s="6">
        <v>2021</v>
      </c>
      <c r="B65" s="5">
        <v>9102050</v>
      </c>
    </row>
    <row r="66" spans="1:2" ht="16" thickBot="1" x14ac:dyDescent="0.4">
      <c r="A66" s="6">
        <v>2022</v>
      </c>
      <c r="B66" s="5">
        <v>8425930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E2D8-8708-4176-A77F-4A8D8106AC90}">
  <dimension ref="A1:J67"/>
  <sheetViews>
    <sheetView zoomScale="85" zoomScaleNormal="85" workbookViewId="0">
      <selection sqref="A1:XFD1048576"/>
    </sheetView>
  </sheetViews>
  <sheetFormatPr defaultRowHeight="14.5" x14ac:dyDescent="0.35"/>
  <cols>
    <col min="1" max="1" width="11.81640625" customWidth="1"/>
    <col min="2" max="2" width="15.90625" customWidth="1"/>
    <col min="3" max="4" width="11" bestFit="1" customWidth="1"/>
    <col min="5" max="5" width="15.1796875" customWidth="1"/>
    <col min="6" max="6" width="28.453125" style="10" customWidth="1"/>
    <col min="7" max="7" width="11" bestFit="1" customWidth="1"/>
    <col min="8" max="8" width="35.453125" style="10" customWidth="1"/>
    <col min="9" max="10" width="11" bestFit="1" customWidth="1"/>
    <col min="14" max="14" width="8.90625" customWidth="1"/>
  </cols>
  <sheetData>
    <row r="1" spans="1:8" ht="60.5" thickBot="1" x14ac:dyDescent="0.4">
      <c r="A1" s="1" t="s">
        <v>0</v>
      </c>
      <c r="B1" s="2" t="s">
        <v>1</v>
      </c>
      <c r="D1" s="22" t="s">
        <v>0</v>
      </c>
      <c r="E1" s="23" t="s">
        <v>9</v>
      </c>
      <c r="F1" s="14"/>
      <c r="G1" s="22" t="s">
        <v>0</v>
      </c>
      <c r="H1" s="23" t="s">
        <v>4</v>
      </c>
    </row>
    <row r="2" spans="1:8" ht="16" thickBot="1" x14ac:dyDescent="0.4">
      <c r="A2" s="63">
        <v>2018</v>
      </c>
      <c r="B2" s="64">
        <v>0</v>
      </c>
      <c r="D2" s="24">
        <v>2018</v>
      </c>
      <c r="E2" s="26">
        <v>126282190</v>
      </c>
      <c r="F2" s="14"/>
      <c r="G2" s="24">
        <v>2018</v>
      </c>
      <c r="H2" s="83">
        <v>39340560</v>
      </c>
    </row>
    <row r="3" spans="1:8" ht="16" thickBot="1" x14ac:dyDescent="0.4">
      <c r="A3" s="3">
        <v>2019</v>
      </c>
      <c r="B3" s="4">
        <v>25</v>
      </c>
      <c r="D3" s="24">
        <v>2019</v>
      </c>
      <c r="E3" s="26">
        <v>128755270</v>
      </c>
      <c r="G3" s="24">
        <v>2019</v>
      </c>
      <c r="H3" s="25">
        <v>41021610</v>
      </c>
    </row>
    <row r="4" spans="1:8" ht="16" thickBot="1" x14ac:dyDescent="0.4">
      <c r="A4" s="3">
        <v>2020</v>
      </c>
      <c r="B4" s="4">
        <v>37</v>
      </c>
      <c r="D4" s="24">
        <v>2020</v>
      </c>
      <c r="E4" s="26">
        <v>128454180</v>
      </c>
      <c r="G4" s="24">
        <v>2020</v>
      </c>
      <c r="H4" s="25">
        <v>39778680</v>
      </c>
    </row>
    <row r="5" spans="1:8" ht="16" thickBot="1" x14ac:dyDescent="0.4">
      <c r="A5" s="3">
        <v>2021</v>
      </c>
      <c r="B5" s="4">
        <v>103</v>
      </c>
      <c r="D5" s="24">
        <v>2021</v>
      </c>
      <c r="E5" s="26">
        <v>131050520</v>
      </c>
      <c r="G5" s="24">
        <v>2021</v>
      </c>
      <c r="H5" s="25">
        <v>40780310</v>
      </c>
    </row>
    <row r="6" spans="1:8" ht="16" thickBot="1" x14ac:dyDescent="0.4">
      <c r="A6" s="3">
        <v>2022</v>
      </c>
      <c r="B6" s="4">
        <v>102</v>
      </c>
      <c r="D6" s="24">
        <v>2022</v>
      </c>
      <c r="E6" s="26">
        <v>135296710</v>
      </c>
      <c r="G6" s="24">
        <v>2022</v>
      </c>
      <c r="H6" s="25">
        <v>42463780</v>
      </c>
    </row>
    <row r="7" spans="1:8" ht="15" thickBot="1" x14ac:dyDescent="0.4"/>
    <row r="8" spans="1:8" ht="30.5" thickBot="1" x14ac:dyDescent="0.4">
      <c r="A8" s="1" t="s">
        <v>0</v>
      </c>
      <c r="B8" s="2" t="s">
        <v>2</v>
      </c>
      <c r="D8" s="15" t="s">
        <v>0</v>
      </c>
      <c r="E8" s="16" t="s">
        <v>3</v>
      </c>
      <c r="G8" s="102" t="s">
        <v>0</v>
      </c>
      <c r="H8" s="102" t="s">
        <v>31</v>
      </c>
    </row>
    <row r="9" spans="1:8" ht="16" thickBot="1" x14ac:dyDescent="0.4">
      <c r="A9" s="124">
        <v>2018</v>
      </c>
      <c r="B9" s="125">
        <v>0</v>
      </c>
      <c r="D9" s="17">
        <v>2018</v>
      </c>
      <c r="E9" s="18">
        <v>7073390</v>
      </c>
      <c r="G9" s="122">
        <v>2018</v>
      </c>
      <c r="H9" s="123">
        <v>0</v>
      </c>
    </row>
    <row r="10" spans="1:8" ht="16" thickBot="1" x14ac:dyDescent="0.4">
      <c r="A10" s="3">
        <v>2019</v>
      </c>
      <c r="B10" s="4">
        <v>96</v>
      </c>
      <c r="D10" s="17">
        <v>2019</v>
      </c>
      <c r="E10" s="18">
        <v>7104420</v>
      </c>
      <c r="G10" s="122">
        <v>2019</v>
      </c>
      <c r="H10" s="123">
        <v>0</v>
      </c>
    </row>
    <row r="11" spans="1:8" ht="16" thickBot="1" x14ac:dyDescent="0.4">
      <c r="A11" s="3">
        <v>2020</v>
      </c>
      <c r="B11" s="4">
        <v>61</v>
      </c>
      <c r="D11" s="17">
        <v>2020</v>
      </c>
      <c r="E11" s="18">
        <v>9767750</v>
      </c>
      <c r="G11" s="66">
        <v>2020</v>
      </c>
      <c r="H11" s="104">
        <v>5713365</v>
      </c>
    </row>
    <row r="12" spans="1:8" ht="16" thickBot="1" x14ac:dyDescent="0.4">
      <c r="A12" s="3">
        <v>2021</v>
      </c>
      <c r="B12" s="4">
        <v>119</v>
      </c>
      <c r="D12" s="17">
        <v>2021</v>
      </c>
      <c r="E12" s="18">
        <v>9102050</v>
      </c>
      <c r="G12" s="103">
        <v>2021</v>
      </c>
      <c r="H12" s="105">
        <v>4261759</v>
      </c>
    </row>
    <row r="13" spans="1:8" ht="16" thickBot="1" x14ac:dyDescent="0.4">
      <c r="A13" s="3">
        <v>2022</v>
      </c>
      <c r="B13" s="4">
        <v>127</v>
      </c>
      <c r="D13" s="17">
        <v>2022</v>
      </c>
      <c r="E13" s="18">
        <v>8425930</v>
      </c>
      <c r="G13" s="103">
        <v>2022</v>
      </c>
      <c r="H13" s="105">
        <v>6716124</v>
      </c>
    </row>
    <row r="14" spans="1:8" ht="15" thickBot="1" x14ac:dyDescent="0.4"/>
    <row r="15" spans="1:8" ht="60.5" thickBot="1" x14ac:dyDescent="0.4">
      <c r="A15" s="1" t="s">
        <v>0</v>
      </c>
      <c r="B15" s="84" t="s">
        <v>8</v>
      </c>
      <c r="D15" s="19" t="s">
        <v>0</v>
      </c>
      <c r="E15" s="19" t="s">
        <v>5</v>
      </c>
      <c r="G15" s="114" t="s">
        <v>0</v>
      </c>
      <c r="H15" s="114" t="s">
        <v>115</v>
      </c>
    </row>
    <row r="16" spans="1:8" ht="16" thickBot="1" x14ac:dyDescent="0.4">
      <c r="A16" s="86">
        <v>2018</v>
      </c>
      <c r="B16" s="85">
        <v>14331441</v>
      </c>
      <c r="D16" s="61">
        <v>2018</v>
      </c>
      <c r="E16" s="62">
        <v>11059</v>
      </c>
      <c r="G16" s="115">
        <v>2018</v>
      </c>
      <c r="H16" s="113">
        <v>5640000000</v>
      </c>
    </row>
    <row r="17" spans="1:10" ht="16" thickBot="1" x14ac:dyDescent="0.4">
      <c r="A17" s="6">
        <v>2019</v>
      </c>
      <c r="B17" s="7">
        <v>18569123</v>
      </c>
      <c r="D17" s="20">
        <v>2019</v>
      </c>
      <c r="E17" s="21">
        <v>11299</v>
      </c>
      <c r="G17" s="115">
        <v>2019</v>
      </c>
      <c r="H17" s="113">
        <v>5911848356</v>
      </c>
    </row>
    <row r="18" spans="1:10" ht="16" thickBot="1" x14ac:dyDescent="0.4">
      <c r="A18" s="6">
        <v>2020</v>
      </c>
      <c r="B18" s="7">
        <v>43561362</v>
      </c>
      <c r="D18" s="20">
        <v>2020</v>
      </c>
      <c r="E18" s="21">
        <v>11013</v>
      </c>
      <c r="G18" s="115">
        <v>2020</v>
      </c>
      <c r="H18" s="113">
        <v>5803284241</v>
      </c>
    </row>
    <row r="19" spans="1:10" ht="16" thickBot="1" x14ac:dyDescent="0.4">
      <c r="A19" s="6">
        <v>2021</v>
      </c>
      <c r="B19" s="7">
        <v>17287241</v>
      </c>
      <c r="D19" s="20">
        <v>2021</v>
      </c>
      <c r="E19" s="21">
        <v>11156</v>
      </c>
      <c r="G19" s="115">
        <v>2021</v>
      </c>
      <c r="H19" s="113">
        <v>5935279261</v>
      </c>
    </row>
    <row r="20" spans="1:10" ht="16" thickBot="1" x14ac:dyDescent="0.4">
      <c r="A20" s="6">
        <v>2022</v>
      </c>
      <c r="B20" s="7">
        <v>19717096</v>
      </c>
      <c r="D20" s="20">
        <v>2022</v>
      </c>
      <c r="E20" s="21">
        <v>11479</v>
      </c>
      <c r="G20" s="115">
        <v>2022</v>
      </c>
      <c r="H20" s="113">
        <v>6238781151</v>
      </c>
    </row>
    <row r="31" spans="1:10" ht="15" x14ac:dyDescent="0.35">
      <c r="F31" s="13"/>
      <c r="G31" s="9"/>
      <c r="H31" s="11"/>
      <c r="I31" s="9"/>
      <c r="J31" s="9"/>
    </row>
    <row r="34" spans="4:10" x14ac:dyDescent="0.35">
      <c r="G34" s="8"/>
      <c r="H34" s="12"/>
      <c r="I34" s="8"/>
      <c r="J34" s="8"/>
    </row>
    <row r="38" spans="4:10" x14ac:dyDescent="0.35">
      <c r="G38" s="8"/>
      <c r="H38" s="12"/>
      <c r="I38" s="8"/>
      <c r="J38" s="8"/>
    </row>
    <row r="47" spans="4:10" x14ac:dyDescent="0.35">
      <c r="D47" s="10"/>
      <c r="H47"/>
    </row>
    <row r="48" spans="4:10" x14ac:dyDescent="0.35">
      <c r="D48" s="10"/>
      <c r="H48"/>
    </row>
    <row r="62" spans="1:2" ht="15" thickBot="1" x14ac:dyDescent="0.4"/>
    <row r="63" spans="1:2" ht="30.5" thickBot="1" x14ac:dyDescent="0.4">
      <c r="A63" s="1" t="s">
        <v>0</v>
      </c>
      <c r="B63" s="2" t="s">
        <v>3</v>
      </c>
    </row>
    <row r="64" spans="1:2" ht="16" thickBot="1" x14ac:dyDescent="0.4">
      <c r="A64" s="6">
        <v>2019</v>
      </c>
      <c r="B64" s="5">
        <v>7104420</v>
      </c>
    </row>
    <row r="65" spans="1:2" ht="16" thickBot="1" x14ac:dyDescent="0.4">
      <c r="A65" s="6">
        <v>2020</v>
      </c>
      <c r="B65" s="5">
        <v>9767750</v>
      </c>
    </row>
    <row r="66" spans="1:2" ht="16" thickBot="1" x14ac:dyDescent="0.4">
      <c r="A66" s="6">
        <v>2021</v>
      </c>
      <c r="B66" s="5">
        <v>9102050</v>
      </c>
    </row>
    <row r="67" spans="1:2" ht="16" thickBot="1" x14ac:dyDescent="0.4">
      <c r="A67" s="6">
        <v>2022</v>
      </c>
      <c r="B67" s="5">
        <v>8425930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784E-0380-4E7F-BB3F-251A0993D555}">
  <dimension ref="A1:F36"/>
  <sheetViews>
    <sheetView zoomScale="70" zoomScaleNormal="70" workbookViewId="0">
      <selection activeCell="D16" sqref="D16"/>
    </sheetView>
  </sheetViews>
  <sheetFormatPr defaultColWidth="8.90625" defaultRowHeight="15.5" x14ac:dyDescent="0.35"/>
  <cols>
    <col min="1" max="1" width="29.36328125" style="65" customWidth="1"/>
    <col min="2" max="2" width="24.08984375" style="65" customWidth="1"/>
    <col min="3" max="3" width="26.81640625" style="65" customWidth="1"/>
    <col min="4" max="4" width="30.36328125" style="65" customWidth="1"/>
    <col min="5" max="5" width="26.08984375" style="65" customWidth="1"/>
    <col min="6" max="6" width="26.1796875" style="65" customWidth="1"/>
    <col min="7" max="16384" width="8.90625" style="65"/>
  </cols>
  <sheetData>
    <row r="1" spans="1:6" x14ac:dyDescent="0.35">
      <c r="A1" s="89" t="s">
        <v>113</v>
      </c>
      <c r="B1" s="89">
        <v>2018</v>
      </c>
      <c r="C1" s="89">
        <v>2019</v>
      </c>
      <c r="D1" s="89">
        <v>2020</v>
      </c>
      <c r="E1" s="89">
        <v>2021</v>
      </c>
      <c r="F1" s="67">
        <v>2022</v>
      </c>
    </row>
    <row r="2" spans="1:6" x14ac:dyDescent="0.35">
      <c r="A2" s="89" t="s">
        <v>33</v>
      </c>
      <c r="B2" s="107">
        <v>71037725</v>
      </c>
      <c r="C2" s="108">
        <v>73746376.370000005</v>
      </c>
      <c r="D2" s="108">
        <v>73271449.569999993</v>
      </c>
      <c r="E2" s="108">
        <v>74123833.180000007</v>
      </c>
      <c r="F2" s="106">
        <v>76318526.829999998</v>
      </c>
    </row>
    <row r="3" spans="1:6" x14ac:dyDescent="0.35">
      <c r="A3" s="89" t="s">
        <v>34</v>
      </c>
      <c r="B3" s="107">
        <v>264000000</v>
      </c>
      <c r="C3" s="108">
        <v>275126715.66000003</v>
      </c>
      <c r="D3" s="108">
        <v>267334077.83000001</v>
      </c>
      <c r="E3" s="108">
        <v>271862451.56999999</v>
      </c>
      <c r="F3" s="106">
        <v>284239229.43000001</v>
      </c>
    </row>
    <row r="4" spans="1:6" x14ac:dyDescent="0.35">
      <c r="A4" s="89" t="s">
        <v>35</v>
      </c>
      <c r="B4" s="107">
        <v>83547520</v>
      </c>
      <c r="C4" s="108">
        <v>87508315.510000005</v>
      </c>
      <c r="D4" s="108">
        <v>85342594.359999999</v>
      </c>
      <c r="E4" s="108">
        <v>87019646.079999998</v>
      </c>
      <c r="F4" s="106">
        <v>90603918.870000005</v>
      </c>
    </row>
    <row r="5" spans="1:6" x14ac:dyDescent="0.35">
      <c r="A5" s="89" t="s">
        <v>36</v>
      </c>
      <c r="B5" s="107">
        <v>169000000</v>
      </c>
      <c r="C5" s="108">
        <v>172897764.27000001</v>
      </c>
      <c r="D5" s="108">
        <v>169242657.71000001</v>
      </c>
      <c r="E5" s="108">
        <v>174653231.55000001</v>
      </c>
      <c r="F5" s="106">
        <v>182881168.53999999</v>
      </c>
    </row>
    <row r="6" spans="1:6" x14ac:dyDescent="0.35">
      <c r="A6" s="89" t="s">
        <v>37</v>
      </c>
      <c r="B6" s="107">
        <v>62685308</v>
      </c>
      <c r="C6" s="108">
        <v>65279813.799999997</v>
      </c>
      <c r="D6" s="108">
        <v>64991049.829999998</v>
      </c>
      <c r="E6" s="108">
        <v>67206008.329999998</v>
      </c>
      <c r="F6" s="106">
        <v>70205869.030000001</v>
      </c>
    </row>
    <row r="7" spans="1:6" x14ac:dyDescent="0.35">
      <c r="A7" s="89" t="s">
        <v>38</v>
      </c>
      <c r="B7" s="107">
        <v>183000000</v>
      </c>
      <c r="C7" s="108">
        <v>190641454.44</v>
      </c>
      <c r="D7" s="108">
        <v>186943077.81999999</v>
      </c>
      <c r="E7" s="108">
        <v>190560724.94999999</v>
      </c>
      <c r="F7" s="106">
        <v>201978441.94</v>
      </c>
    </row>
    <row r="8" spans="1:6" x14ac:dyDescent="0.35">
      <c r="A8" s="89" t="s">
        <v>39</v>
      </c>
      <c r="B8" s="107">
        <v>28146020</v>
      </c>
      <c r="C8" s="108">
        <v>29503655.260000002</v>
      </c>
      <c r="D8" s="108">
        <v>29548535.41</v>
      </c>
      <c r="E8" s="108">
        <v>30360368.879999999</v>
      </c>
      <c r="F8" s="106">
        <v>32021404.75</v>
      </c>
    </row>
    <row r="9" spans="1:6" x14ac:dyDescent="0.35">
      <c r="A9" s="89" t="s">
        <v>40</v>
      </c>
      <c r="B9" s="107">
        <v>140000000</v>
      </c>
      <c r="C9" s="108">
        <v>147696323.74000001</v>
      </c>
      <c r="D9" s="108">
        <v>145298038.59999999</v>
      </c>
      <c r="E9" s="108">
        <v>147741620.06</v>
      </c>
      <c r="F9" s="106">
        <v>154739557.06999999</v>
      </c>
    </row>
    <row r="10" spans="1:6" x14ac:dyDescent="0.35">
      <c r="A10" s="89" t="s">
        <v>41</v>
      </c>
      <c r="B10" s="107">
        <v>27778803</v>
      </c>
      <c r="C10" s="108">
        <v>28875477.93</v>
      </c>
      <c r="D10" s="108">
        <v>28745245.969999999</v>
      </c>
      <c r="E10" s="108">
        <v>29521431.460000001</v>
      </c>
      <c r="F10" s="106">
        <v>31002132.620000001</v>
      </c>
    </row>
    <row r="11" spans="1:6" x14ac:dyDescent="0.35">
      <c r="A11" s="89" t="s">
        <v>42</v>
      </c>
      <c r="B11" s="107">
        <v>68190217</v>
      </c>
      <c r="C11" s="108">
        <v>71762513.930000007</v>
      </c>
      <c r="D11" s="108">
        <v>72042414.939999998</v>
      </c>
      <c r="E11" s="108">
        <v>72429825.040000007</v>
      </c>
      <c r="F11" s="106">
        <v>75799156.420000002</v>
      </c>
    </row>
    <row r="12" spans="1:6" x14ac:dyDescent="0.35">
      <c r="A12" s="89" t="s">
        <v>43</v>
      </c>
      <c r="B12" s="107">
        <v>1010000000</v>
      </c>
      <c r="C12" s="108">
        <v>1067000489.14</v>
      </c>
      <c r="D12" s="108">
        <v>1043228010.53</v>
      </c>
      <c r="E12" s="108">
        <v>1080131009.6099999</v>
      </c>
      <c r="F12" s="106">
        <v>1141002556.5599999</v>
      </c>
    </row>
    <row r="13" spans="1:6" x14ac:dyDescent="0.35">
      <c r="A13" s="89" t="s">
        <v>44</v>
      </c>
      <c r="B13" s="107">
        <v>879000000</v>
      </c>
      <c r="C13" s="108">
        <v>920742896.72000003</v>
      </c>
      <c r="D13" s="108">
        <v>894114734.32000005</v>
      </c>
      <c r="E13" s="108">
        <v>905974620.75</v>
      </c>
      <c r="F13" s="106">
        <v>948326477.59000003</v>
      </c>
    </row>
    <row r="14" spans="1:6" x14ac:dyDescent="0.35">
      <c r="A14" s="89" t="s">
        <v>45</v>
      </c>
      <c r="B14" s="107">
        <v>557000000</v>
      </c>
      <c r="C14" s="108">
        <v>582253351.38999999</v>
      </c>
      <c r="D14" s="108">
        <v>573976750.01999998</v>
      </c>
      <c r="E14" s="108">
        <v>584447297.75999999</v>
      </c>
      <c r="F14" s="106">
        <v>616679566.37</v>
      </c>
    </row>
    <row r="15" spans="1:6" x14ac:dyDescent="0.35">
      <c r="A15" s="89" t="s">
        <v>46</v>
      </c>
      <c r="B15" s="107">
        <v>57552317</v>
      </c>
      <c r="C15" s="108">
        <v>59724355.359999999</v>
      </c>
      <c r="D15" s="108">
        <v>58083919.829999998</v>
      </c>
      <c r="E15" s="108">
        <v>59110434.560000002</v>
      </c>
      <c r="F15" s="106">
        <v>60669941.560000002</v>
      </c>
    </row>
    <row r="16" spans="1:6" x14ac:dyDescent="0.35">
      <c r="A16" s="89" t="s">
        <v>47</v>
      </c>
      <c r="B16" s="107">
        <v>927000000</v>
      </c>
      <c r="C16" s="108">
        <v>971393490.23000002</v>
      </c>
      <c r="D16" s="108">
        <v>963487318.98000002</v>
      </c>
      <c r="E16" s="108">
        <v>990157775.5</v>
      </c>
      <c r="F16" s="106">
        <v>1049871975.8200001</v>
      </c>
    </row>
    <row r="17" spans="1:6" x14ac:dyDescent="0.35">
      <c r="A17" s="89" t="s">
        <v>48</v>
      </c>
      <c r="B17" s="107">
        <v>248000000</v>
      </c>
      <c r="C17" s="108">
        <v>260067183.52000001</v>
      </c>
      <c r="D17" s="108">
        <v>254841256.19999999</v>
      </c>
      <c r="E17" s="108">
        <v>260957053.88</v>
      </c>
      <c r="F17" s="106">
        <v>271684342.04000002</v>
      </c>
    </row>
    <row r="18" spans="1:6" x14ac:dyDescent="0.35">
      <c r="A18" s="89" t="s">
        <v>49</v>
      </c>
      <c r="B18" s="107">
        <v>80025343</v>
      </c>
      <c r="C18" s="108">
        <v>84688985.150000006</v>
      </c>
      <c r="D18" s="108">
        <v>81601576.120000005</v>
      </c>
      <c r="E18" s="108">
        <v>81726574.349999994</v>
      </c>
      <c r="F18" s="106">
        <v>85027846.409999996</v>
      </c>
    </row>
    <row r="19" spans="1:6" x14ac:dyDescent="0.35">
      <c r="A19" s="89" t="s">
        <v>50</v>
      </c>
      <c r="B19" s="107">
        <v>56577593</v>
      </c>
      <c r="C19" s="108">
        <v>58442832.990000002</v>
      </c>
      <c r="D19" s="108">
        <v>56729843.100000001</v>
      </c>
      <c r="E19" s="108">
        <v>57753144.920000002</v>
      </c>
      <c r="F19" s="106">
        <v>60050168.5</v>
      </c>
    </row>
    <row r="20" spans="1:6" x14ac:dyDescent="0.35">
      <c r="A20" s="89" t="s">
        <v>51</v>
      </c>
      <c r="B20" s="107">
        <v>50523143</v>
      </c>
      <c r="C20" s="108">
        <v>53250488.079999998</v>
      </c>
      <c r="D20" s="108">
        <v>52377887</v>
      </c>
      <c r="E20" s="108">
        <v>53207901.270000003</v>
      </c>
      <c r="F20" s="106">
        <v>54675338.979999997</v>
      </c>
    </row>
    <row r="21" spans="1:6" x14ac:dyDescent="0.35">
      <c r="A21" s="89" t="s">
        <v>52</v>
      </c>
      <c r="B21" s="107">
        <v>68450955</v>
      </c>
      <c r="C21" s="108">
        <v>71620843.980000004</v>
      </c>
      <c r="D21" s="108">
        <v>71488788</v>
      </c>
      <c r="E21" s="108">
        <v>72674312.129999995</v>
      </c>
      <c r="F21" s="106">
        <v>75301455.859999999</v>
      </c>
    </row>
    <row r="22" spans="1:6" x14ac:dyDescent="0.35">
      <c r="A22" s="89" t="s">
        <v>53</v>
      </c>
      <c r="B22" s="107">
        <v>36591958</v>
      </c>
      <c r="C22" s="108">
        <v>38451317.210000001</v>
      </c>
      <c r="D22" s="108">
        <v>38658970.600000001</v>
      </c>
      <c r="E22" s="108">
        <v>39307454.649999999</v>
      </c>
      <c r="F22" s="106">
        <v>39917606.659999996</v>
      </c>
    </row>
    <row r="23" spans="1:6" x14ac:dyDescent="0.35">
      <c r="A23" s="89" t="s">
        <v>54</v>
      </c>
      <c r="B23" s="107">
        <v>59678331</v>
      </c>
      <c r="C23" s="108">
        <v>62071063.520000003</v>
      </c>
      <c r="D23" s="108">
        <v>61910598.299999997</v>
      </c>
      <c r="E23" s="108">
        <v>62600000.880000003</v>
      </c>
      <c r="F23" s="106">
        <v>65961813.229999997</v>
      </c>
    </row>
    <row r="24" spans="1:6" x14ac:dyDescent="0.35">
      <c r="A24" s="89" t="s">
        <v>55</v>
      </c>
      <c r="B24" s="107">
        <v>68946195</v>
      </c>
      <c r="C24" s="108">
        <v>71119261.200000003</v>
      </c>
      <c r="D24" s="108">
        <v>70816347.319999993</v>
      </c>
      <c r="E24" s="108">
        <v>71688046.230000004</v>
      </c>
      <c r="F24" s="106">
        <v>74132683.469999999</v>
      </c>
    </row>
    <row r="25" spans="1:6" x14ac:dyDescent="0.35">
      <c r="A25" s="89" t="s">
        <v>56</v>
      </c>
      <c r="B25" s="107">
        <v>9309640</v>
      </c>
      <c r="C25" s="108">
        <v>9804375.7799999993</v>
      </c>
      <c r="D25" s="108">
        <v>9745674.1199999992</v>
      </c>
      <c r="E25" s="108">
        <v>10036269.470000001</v>
      </c>
      <c r="F25" s="106">
        <v>10483861.84</v>
      </c>
    </row>
    <row r="26" spans="1:6" x14ac:dyDescent="0.35">
      <c r="A26" s="89" t="s">
        <v>57</v>
      </c>
      <c r="B26" s="107">
        <v>38874154</v>
      </c>
      <c r="C26" s="108">
        <v>40844957.93</v>
      </c>
      <c r="D26" s="108">
        <v>40017269.700000003</v>
      </c>
      <c r="E26" s="108">
        <v>41690930.700000003</v>
      </c>
      <c r="F26" s="106">
        <v>44580801.609999999</v>
      </c>
    </row>
    <row r="27" spans="1:6" x14ac:dyDescent="0.35">
      <c r="A27" s="89" t="s">
        <v>58</v>
      </c>
      <c r="B27" s="107">
        <v>49430810</v>
      </c>
      <c r="C27" s="108">
        <v>50912269.890000001</v>
      </c>
      <c r="D27" s="108">
        <v>48903258.060000002</v>
      </c>
      <c r="E27" s="108">
        <v>50176300.670000002</v>
      </c>
      <c r="F27" s="106">
        <v>52810549.25</v>
      </c>
    </row>
    <row r="28" spans="1:6" x14ac:dyDescent="0.35">
      <c r="A28" s="89" t="s">
        <v>59</v>
      </c>
      <c r="B28" s="107">
        <v>161000000</v>
      </c>
      <c r="C28" s="108">
        <v>171693402.59999999</v>
      </c>
      <c r="D28" s="108">
        <v>169776472.59</v>
      </c>
      <c r="E28" s="108">
        <v>174115306.59999999</v>
      </c>
      <c r="F28" s="106">
        <v>184623522.56999999</v>
      </c>
    </row>
    <row r="29" spans="1:6" x14ac:dyDescent="0.35">
      <c r="A29" s="89" t="s">
        <v>60</v>
      </c>
      <c r="B29" s="107">
        <v>41766688</v>
      </c>
      <c r="C29" s="108">
        <v>44297229.68</v>
      </c>
      <c r="D29" s="108">
        <v>44243967.780000001</v>
      </c>
      <c r="E29" s="108">
        <v>45072568.75</v>
      </c>
      <c r="F29" s="106">
        <v>47126387.049999997</v>
      </c>
    </row>
    <row r="30" spans="1:6" x14ac:dyDescent="0.35">
      <c r="A30" s="89" t="s">
        <v>61</v>
      </c>
      <c r="B30" s="107">
        <v>16319175</v>
      </c>
      <c r="C30" s="108">
        <v>17444991.780000001</v>
      </c>
      <c r="D30" s="108">
        <v>17463230.780000001</v>
      </c>
      <c r="E30" s="108">
        <v>17878936.640000001</v>
      </c>
      <c r="F30" s="106">
        <v>18598129.789999999</v>
      </c>
    </row>
    <row r="31" spans="1:6" x14ac:dyDescent="0.35">
      <c r="A31" s="89" t="s">
        <v>62</v>
      </c>
      <c r="B31" s="107">
        <v>15370054</v>
      </c>
      <c r="C31" s="108">
        <v>16028001.439999999</v>
      </c>
      <c r="D31" s="108">
        <v>16104398.18</v>
      </c>
      <c r="E31" s="108">
        <v>16412455.039999999</v>
      </c>
      <c r="F31" s="106">
        <v>17002569.09</v>
      </c>
    </row>
    <row r="32" spans="1:6" x14ac:dyDescent="0.35">
      <c r="A32" s="89" t="s">
        <v>63</v>
      </c>
      <c r="B32" s="107">
        <v>19221733</v>
      </c>
      <c r="C32" s="108">
        <v>20261857.579999998</v>
      </c>
      <c r="D32" s="108">
        <v>20142146.289999999</v>
      </c>
      <c r="E32" s="108">
        <v>20260560.899999999</v>
      </c>
      <c r="F32" s="106">
        <v>21279843.010000002</v>
      </c>
    </row>
    <row r="33" spans="1:6" x14ac:dyDescent="0.35">
      <c r="A33" s="89" t="s">
        <v>64</v>
      </c>
      <c r="B33" s="107">
        <v>13747246</v>
      </c>
      <c r="C33" s="108">
        <v>14295863.16</v>
      </c>
      <c r="D33" s="108">
        <v>14261702.390000001</v>
      </c>
      <c r="E33" s="108">
        <v>14693850.279999999</v>
      </c>
      <c r="F33" s="106">
        <v>15352418.640000001</v>
      </c>
    </row>
    <row r="34" spans="1:6" x14ac:dyDescent="0.35">
      <c r="A34" s="89" t="s">
        <v>65</v>
      </c>
      <c r="B34" s="107">
        <v>16053902</v>
      </c>
      <c r="C34" s="108">
        <v>16826383.039999999</v>
      </c>
      <c r="D34" s="108">
        <v>16639200</v>
      </c>
      <c r="E34" s="108">
        <v>17087306.460000001</v>
      </c>
      <c r="F34" s="106">
        <v>17709231.399999999</v>
      </c>
    </row>
    <row r="35" spans="1:6" x14ac:dyDescent="0.35">
      <c r="A35" s="89" t="s">
        <v>66</v>
      </c>
      <c r="B35" s="107">
        <v>63233971</v>
      </c>
      <c r="C35" s="108">
        <v>65574053.850000001</v>
      </c>
      <c r="D35" s="108">
        <v>61911778.259999998</v>
      </c>
      <c r="E35" s="108">
        <v>62640007.920000002</v>
      </c>
      <c r="F35" s="106">
        <v>66122657.869999997</v>
      </c>
    </row>
    <row r="36" spans="1:6" x14ac:dyDescent="0.35">
      <c r="A36" s="109" t="s">
        <v>114</v>
      </c>
      <c r="B36" s="110">
        <v>5640000000</v>
      </c>
      <c r="C36" s="111">
        <v>5911848356.1199999</v>
      </c>
      <c r="D36" s="111">
        <v>5803284240.5200005</v>
      </c>
      <c r="E36" s="111">
        <v>5935279261.0200005</v>
      </c>
      <c r="F36" s="112">
        <v>6238781150.6199999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09DA-AEE8-4DB1-965D-4E7FD5AF10FD}">
  <dimension ref="A1:H43"/>
  <sheetViews>
    <sheetView topLeftCell="A6" workbookViewId="0">
      <selection activeCell="I34" sqref="I34"/>
    </sheetView>
  </sheetViews>
  <sheetFormatPr defaultColWidth="9.1796875" defaultRowHeight="14.5" x14ac:dyDescent="0.35"/>
  <cols>
    <col min="1" max="1" width="2.81640625" style="81" bestFit="1" customWidth="1"/>
    <col min="2" max="2" width="33.6328125" style="79" customWidth="1"/>
    <col min="3" max="3" width="29.6328125" style="79" customWidth="1"/>
    <col min="4" max="4" width="1.1796875" style="79" hidden="1" customWidth="1"/>
    <col min="5" max="5" width="12.6328125" style="82" hidden="1" customWidth="1"/>
    <col min="6" max="6" width="9.453125" style="79" customWidth="1"/>
    <col min="7" max="7" width="8.81640625" style="79" customWidth="1"/>
    <col min="8" max="8" width="8.453125" style="79" customWidth="1"/>
    <col min="9" max="9" width="9.453125" style="79" customWidth="1"/>
    <col min="10" max="11" width="8.453125" style="79" customWidth="1"/>
    <col min="12" max="12" width="9.81640625" style="79" customWidth="1"/>
    <col min="13" max="14" width="8.453125" style="79" customWidth="1"/>
    <col min="15" max="15" width="9.453125" style="79" customWidth="1"/>
    <col min="16" max="16" width="9" style="79" customWidth="1"/>
    <col min="17" max="17" width="8.453125" style="79" customWidth="1"/>
    <col min="18" max="18" width="9.81640625" style="79" customWidth="1"/>
    <col min="19" max="19" width="9" style="79" customWidth="1"/>
    <col min="20" max="20" width="8.453125" style="79" customWidth="1"/>
    <col min="21" max="21" width="9.453125" style="79" customWidth="1"/>
    <col min="22" max="23" width="8.453125" style="79" customWidth="1"/>
    <col min="24" max="24" width="9.81640625" style="79" customWidth="1"/>
    <col min="25" max="26" width="8.453125" style="79" customWidth="1"/>
    <col min="27" max="27" width="9.81640625" style="79" customWidth="1"/>
    <col min="28" max="38" width="8.453125" style="79" customWidth="1"/>
    <col min="39" max="16384" width="9.1796875" style="79"/>
  </cols>
  <sheetData>
    <row r="1" spans="1:5" ht="15.5" x14ac:dyDescent="0.35">
      <c r="A1" s="133" t="s">
        <v>112</v>
      </c>
      <c r="B1" s="133"/>
      <c r="C1" s="132">
        <v>44531</v>
      </c>
      <c r="D1" s="132"/>
      <c r="E1" s="132"/>
    </row>
    <row r="2" spans="1:5" ht="31" x14ac:dyDescent="0.35">
      <c r="A2" s="133"/>
      <c r="B2" s="133"/>
      <c r="C2" s="88" t="s">
        <v>72</v>
      </c>
      <c r="D2" s="98"/>
      <c r="E2" s="98"/>
    </row>
    <row r="3" spans="1:5" s="80" customFormat="1" ht="15.5" x14ac:dyDescent="0.35">
      <c r="A3" s="90" t="s">
        <v>73</v>
      </c>
      <c r="B3" s="91"/>
      <c r="C3" s="99">
        <v>14807353</v>
      </c>
      <c r="D3" s="100"/>
      <c r="E3" s="91"/>
    </row>
    <row r="4" spans="1:5" ht="15.5" x14ac:dyDescent="0.35">
      <c r="A4" s="92"/>
      <c r="B4" s="93" t="s">
        <v>74</v>
      </c>
      <c r="C4" s="101">
        <v>930711</v>
      </c>
      <c r="D4" s="100"/>
      <c r="E4" s="98"/>
    </row>
    <row r="5" spans="1:5" ht="15.5" x14ac:dyDescent="0.35">
      <c r="A5" s="92"/>
      <c r="B5" s="93" t="s">
        <v>75</v>
      </c>
      <c r="C5" s="101">
        <v>8412990</v>
      </c>
      <c r="D5" s="100"/>
      <c r="E5" s="98"/>
    </row>
    <row r="6" spans="1:5" ht="15.5" x14ac:dyDescent="0.35">
      <c r="A6" s="92"/>
      <c r="B6" s="93" t="s">
        <v>76</v>
      </c>
      <c r="C6" s="101">
        <v>3090360</v>
      </c>
      <c r="D6" s="100"/>
      <c r="E6" s="98"/>
    </row>
    <row r="7" spans="1:5" ht="15.5" x14ac:dyDescent="0.35">
      <c r="A7" s="92"/>
      <c r="B7" s="93" t="s">
        <v>77</v>
      </c>
      <c r="C7" s="101">
        <v>901834</v>
      </c>
      <c r="D7" s="100"/>
      <c r="E7" s="98"/>
    </row>
    <row r="8" spans="1:5" ht="15.5" x14ac:dyDescent="0.35">
      <c r="A8" s="92"/>
      <c r="B8" s="93" t="s">
        <v>78</v>
      </c>
      <c r="C8" s="101">
        <v>156525</v>
      </c>
      <c r="D8" s="100"/>
      <c r="E8" s="98"/>
    </row>
    <row r="9" spans="1:5" ht="15.5" x14ac:dyDescent="0.35">
      <c r="A9" s="92"/>
      <c r="B9" s="93" t="s">
        <v>79</v>
      </c>
      <c r="C9" s="101">
        <v>1314933</v>
      </c>
      <c r="D9" s="100"/>
      <c r="E9" s="98"/>
    </row>
    <row r="10" spans="1:5" s="80" customFormat="1" ht="15.5" x14ac:dyDescent="0.35">
      <c r="A10" s="90" t="s">
        <v>80</v>
      </c>
      <c r="B10" s="91"/>
      <c r="C10" s="99">
        <v>2479888</v>
      </c>
      <c r="D10" s="100"/>
      <c r="E10" s="91"/>
    </row>
    <row r="11" spans="1:5" ht="15.5" x14ac:dyDescent="0.35">
      <c r="A11" s="92"/>
      <c r="B11" s="93" t="s">
        <v>81</v>
      </c>
      <c r="C11" s="101">
        <v>32834</v>
      </c>
      <c r="D11" s="100"/>
      <c r="E11" s="98"/>
    </row>
    <row r="12" spans="1:5" ht="15.5" x14ac:dyDescent="0.35">
      <c r="A12" s="92"/>
      <c r="B12" s="93" t="s">
        <v>82</v>
      </c>
      <c r="C12" s="101">
        <v>342361</v>
      </c>
      <c r="D12" s="100"/>
      <c r="E12" s="98"/>
    </row>
    <row r="13" spans="1:5" ht="15.5" x14ac:dyDescent="0.35">
      <c r="A13" s="92"/>
      <c r="B13" s="93" t="s">
        <v>83</v>
      </c>
      <c r="C13" s="101">
        <v>133994</v>
      </c>
      <c r="D13" s="100"/>
      <c r="E13" s="98"/>
    </row>
    <row r="14" spans="1:5" ht="15.5" x14ac:dyDescent="0.35">
      <c r="A14" s="92"/>
      <c r="B14" s="93" t="s">
        <v>84</v>
      </c>
      <c r="C14" s="101">
        <v>142855</v>
      </c>
      <c r="D14" s="100"/>
      <c r="E14" s="98"/>
    </row>
    <row r="15" spans="1:5" ht="15.5" x14ac:dyDescent="0.35">
      <c r="A15" s="92"/>
      <c r="B15" s="93" t="s">
        <v>85</v>
      </c>
      <c r="C15" s="101">
        <v>105930</v>
      </c>
      <c r="D15" s="100"/>
      <c r="E15" s="98"/>
    </row>
    <row r="16" spans="1:5" ht="15.5" x14ac:dyDescent="0.35">
      <c r="A16" s="92"/>
      <c r="B16" s="93" t="s">
        <v>86</v>
      </c>
      <c r="C16" s="101">
        <v>24456</v>
      </c>
      <c r="D16" s="100"/>
      <c r="E16" s="98"/>
    </row>
    <row r="17" spans="1:5" ht="15.5" x14ac:dyDescent="0.35">
      <c r="A17" s="92"/>
      <c r="B17" s="93" t="s">
        <v>87</v>
      </c>
      <c r="C17" s="101">
        <v>82053</v>
      </c>
      <c r="D17" s="100"/>
      <c r="E17" s="98"/>
    </row>
    <row r="18" spans="1:5" ht="15.5" x14ac:dyDescent="0.35">
      <c r="A18" s="92"/>
      <c r="B18" s="93" t="s">
        <v>88</v>
      </c>
      <c r="C18" s="101">
        <v>260284</v>
      </c>
      <c r="D18" s="100"/>
      <c r="E18" s="98"/>
    </row>
    <row r="19" spans="1:5" ht="15.5" x14ac:dyDescent="0.35">
      <c r="A19" s="92"/>
      <c r="B19" s="93" t="s">
        <v>89</v>
      </c>
      <c r="C19" s="101">
        <v>30568</v>
      </c>
      <c r="D19" s="100"/>
      <c r="E19" s="98"/>
    </row>
    <row r="20" spans="1:5" ht="15.5" x14ac:dyDescent="0.35">
      <c r="A20" s="92"/>
      <c r="B20" s="93" t="s">
        <v>90</v>
      </c>
      <c r="C20" s="101">
        <v>208968</v>
      </c>
      <c r="D20" s="100"/>
      <c r="E20" s="98"/>
    </row>
    <row r="21" spans="1:5" ht="15.5" x14ac:dyDescent="0.35">
      <c r="A21" s="92"/>
      <c r="B21" s="93" t="s">
        <v>91</v>
      </c>
      <c r="C21" s="101">
        <v>85119</v>
      </c>
      <c r="D21" s="100"/>
      <c r="E21" s="98"/>
    </row>
    <row r="22" spans="1:5" ht="15.5" x14ac:dyDescent="0.35">
      <c r="A22" s="92"/>
      <c r="B22" s="93" t="s">
        <v>92</v>
      </c>
      <c r="C22" s="101">
        <v>52882</v>
      </c>
      <c r="D22" s="100"/>
      <c r="E22" s="98"/>
    </row>
    <row r="23" spans="1:5" ht="15.5" x14ac:dyDescent="0.35">
      <c r="A23" s="92"/>
      <c r="B23" s="93" t="s">
        <v>93</v>
      </c>
      <c r="C23" s="101">
        <v>14507</v>
      </c>
      <c r="D23" s="100"/>
      <c r="E23" s="98"/>
    </row>
    <row r="24" spans="1:5" ht="15.5" x14ac:dyDescent="0.35">
      <c r="A24" s="92"/>
      <c r="B24" s="93" t="s">
        <v>94</v>
      </c>
      <c r="C24" s="101">
        <v>136232</v>
      </c>
      <c r="D24" s="100"/>
      <c r="E24" s="98"/>
    </row>
    <row r="25" spans="1:5" ht="15.5" x14ac:dyDescent="0.35">
      <c r="A25" s="92"/>
      <c r="B25" s="93" t="s">
        <v>95</v>
      </c>
      <c r="C25" s="101">
        <v>106626</v>
      </c>
      <c r="D25" s="100"/>
      <c r="E25" s="98"/>
    </row>
    <row r="26" spans="1:5" ht="15.5" x14ac:dyDescent="0.35">
      <c r="A26" s="92"/>
      <c r="B26" s="93" t="s">
        <v>96</v>
      </c>
      <c r="C26" s="101">
        <v>84598</v>
      </c>
      <c r="D26" s="100"/>
      <c r="E26" s="98"/>
    </row>
    <row r="27" spans="1:5" ht="15.5" x14ac:dyDescent="0.35">
      <c r="A27" s="92"/>
      <c r="B27" s="93" t="s">
        <v>97</v>
      </c>
      <c r="C27" s="101">
        <v>21920</v>
      </c>
      <c r="D27" s="100"/>
      <c r="E27" s="98"/>
    </row>
    <row r="28" spans="1:5" ht="15.5" x14ac:dyDescent="0.35">
      <c r="A28" s="92"/>
      <c r="B28" s="93" t="s">
        <v>98</v>
      </c>
      <c r="C28" s="101">
        <v>60225</v>
      </c>
      <c r="D28" s="100"/>
      <c r="E28" s="98"/>
    </row>
    <row r="29" spans="1:5" ht="15.5" x14ac:dyDescent="0.35">
      <c r="A29" s="92"/>
      <c r="B29" s="93" t="s">
        <v>99</v>
      </c>
      <c r="C29" s="101">
        <v>17714</v>
      </c>
      <c r="D29" s="100"/>
      <c r="E29" s="98"/>
    </row>
    <row r="30" spans="1:5" ht="15.5" x14ac:dyDescent="0.35">
      <c r="A30" s="92"/>
      <c r="B30" s="93" t="s">
        <v>100</v>
      </c>
      <c r="C30" s="101">
        <v>212571</v>
      </c>
      <c r="D30" s="100"/>
      <c r="E30" s="98"/>
    </row>
    <row r="31" spans="1:5" ht="15.5" x14ac:dyDescent="0.35">
      <c r="A31" s="92"/>
      <c r="B31" s="93" t="s">
        <v>101</v>
      </c>
      <c r="C31" s="101">
        <v>40829</v>
      </c>
      <c r="D31" s="100"/>
      <c r="E31" s="98"/>
    </row>
    <row r="32" spans="1:5" ht="15.5" x14ac:dyDescent="0.35">
      <c r="A32" s="92"/>
      <c r="B32" s="93" t="s">
        <v>102</v>
      </c>
      <c r="C32" s="101">
        <v>138693</v>
      </c>
      <c r="D32" s="100"/>
      <c r="E32" s="98"/>
    </row>
    <row r="33" spans="1:8" ht="15.5" x14ac:dyDescent="0.35">
      <c r="A33" s="92"/>
      <c r="B33" s="93" t="s">
        <v>103</v>
      </c>
      <c r="C33" s="101">
        <v>53770</v>
      </c>
      <c r="D33" s="100"/>
      <c r="E33" s="98"/>
    </row>
    <row r="34" spans="1:8" ht="15.5" x14ac:dyDescent="0.35">
      <c r="A34" s="92"/>
      <c r="B34" s="93" t="s">
        <v>104</v>
      </c>
      <c r="C34" s="101">
        <v>29327</v>
      </c>
      <c r="D34" s="100"/>
      <c r="E34" s="98"/>
    </row>
    <row r="35" spans="1:8" ht="15.5" x14ac:dyDescent="0.35">
      <c r="A35" s="92"/>
      <c r="B35" s="93" t="s">
        <v>105</v>
      </c>
      <c r="C35" s="101">
        <v>9762</v>
      </c>
      <c r="D35" s="100"/>
      <c r="E35" s="98"/>
    </row>
    <row r="36" spans="1:8" ht="15.5" x14ac:dyDescent="0.35">
      <c r="A36" s="92"/>
      <c r="B36" s="93" t="s">
        <v>106</v>
      </c>
      <c r="C36" s="101">
        <v>18068</v>
      </c>
      <c r="D36" s="100"/>
      <c r="E36" s="98"/>
    </row>
    <row r="37" spans="1:8" ht="15.5" x14ac:dyDescent="0.35">
      <c r="A37" s="92"/>
      <c r="B37" s="93" t="s">
        <v>107</v>
      </c>
      <c r="C37" s="101">
        <v>10458</v>
      </c>
      <c r="D37" s="100"/>
      <c r="E37" s="98"/>
    </row>
    <row r="38" spans="1:8" ht="15.5" x14ac:dyDescent="0.35">
      <c r="A38" s="92"/>
      <c r="B38" s="93" t="s">
        <v>108</v>
      </c>
      <c r="C38" s="101">
        <v>22284</v>
      </c>
      <c r="D38" s="100"/>
      <c r="E38" s="98"/>
    </row>
    <row r="39" spans="1:8" ht="15.5" x14ac:dyDescent="0.35">
      <c r="A39" s="94"/>
      <c r="B39" s="95" t="s">
        <v>109</v>
      </c>
      <c r="C39" s="99">
        <v>17287241</v>
      </c>
      <c r="D39" s="100"/>
      <c r="E39" s="98"/>
    </row>
    <row r="41" spans="1:8" x14ac:dyDescent="0.35">
      <c r="H41" s="82"/>
    </row>
    <row r="43" spans="1:8" x14ac:dyDescent="0.35">
      <c r="A43" s="79"/>
    </row>
  </sheetData>
  <mergeCells count="3">
    <mergeCell ref="C1:E1"/>
    <mergeCell ref="A2:B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225-BF36-4DFE-B0BD-9B5ABF874589}">
  <dimension ref="A1:F37"/>
  <sheetViews>
    <sheetView zoomScale="70" zoomScaleNormal="70" workbookViewId="0">
      <selection activeCell="H5" sqref="H5"/>
    </sheetView>
  </sheetViews>
  <sheetFormatPr defaultRowHeight="14.5" x14ac:dyDescent="0.35"/>
  <cols>
    <col min="1" max="1" width="30.36328125" customWidth="1"/>
    <col min="2" max="2" width="17.90625" customWidth="1"/>
    <col min="3" max="3" width="17.6328125" customWidth="1"/>
    <col min="4" max="4" width="17.90625" customWidth="1"/>
    <col min="5" max="5" width="17.6328125" customWidth="1"/>
    <col min="6" max="6" width="17.54296875" customWidth="1"/>
  </cols>
  <sheetData>
    <row r="1" spans="1:6" ht="15.5" x14ac:dyDescent="0.35">
      <c r="A1" s="135" t="s">
        <v>32</v>
      </c>
      <c r="B1" s="134" t="s">
        <v>32</v>
      </c>
      <c r="C1" s="134"/>
      <c r="D1" s="134"/>
      <c r="E1" s="134"/>
      <c r="F1" s="134"/>
    </row>
    <row r="2" spans="1:6" ht="15.5" x14ac:dyDescent="0.35">
      <c r="A2" s="135"/>
      <c r="B2" s="67">
        <v>2018</v>
      </c>
      <c r="C2" s="67">
        <v>2019</v>
      </c>
      <c r="D2" s="67">
        <v>2020</v>
      </c>
      <c r="E2" s="67">
        <v>2021</v>
      </c>
      <c r="F2" s="67">
        <v>2022</v>
      </c>
    </row>
    <row r="3" spans="1:6" ht="15.5" x14ac:dyDescent="0.35">
      <c r="A3" s="72" t="s">
        <v>33</v>
      </c>
      <c r="B3" s="68">
        <v>24013.79</v>
      </c>
      <c r="C3" s="69">
        <v>24842.3</v>
      </c>
      <c r="D3" s="69">
        <v>25018.28</v>
      </c>
      <c r="E3" s="69">
        <v>25357.7</v>
      </c>
      <c r="F3" s="69">
        <v>26063.5</v>
      </c>
    </row>
    <row r="4" spans="1:6" ht="15.5" x14ac:dyDescent="0.35">
      <c r="A4" s="72" t="s">
        <v>34</v>
      </c>
      <c r="B4" s="68" t="s">
        <v>68</v>
      </c>
      <c r="C4" s="69">
        <v>36853.589999999997</v>
      </c>
      <c r="D4" s="69">
        <v>36175.160000000003</v>
      </c>
      <c r="E4" s="69">
        <v>36666.199999999997</v>
      </c>
      <c r="F4" s="69">
        <v>37943.83</v>
      </c>
    </row>
    <row r="5" spans="1:6" ht="15.5" x14ac:dyDescent="0.35">
      <c r="A5" s="72" t="s">
        <v>35</v>
      </c>
      <c r="B5" s="68">
        <v>30470.799999999999</v>
      </c>
      <c r="C5" s="70">
        <v>31427.29</v>
      </c>
      <c r="D5" s="69">
        <v>30696.21</v>
      </c>
      <c r="E5" s="69">
        <v>31360.79</v>
      </c>
      <c r="F5" s="69">
        <v>32377.51</v>
      </c>
    </row>
    <row r="6" spans="1:6" ht="15.5" x14ac:dyDescent="0.35">
      <c r="A6" s="72" t="s">
        <v>36</v>
      </c>
      <c r="B6" s="69">
        <v>70736.77</v>
      </c>
      <c r="C6" s="69">
        <v>72509.14</v>
      </c>
      <c r="D6" s="69">
        <v>76884.740000000005</v>
      </c>
      <c r="E6" s="69">
        <v>77995.509999999995</v>
      </c>
      <c r="F6" s="69">
        <v>80057.789999999994</v>
      </c>
    </row>
    <row r="7" spans="1:6" ht="15.5" x14ac:dyDescent="0.35">
      <c r="A7" s="72" t="s">
        <v>37</v>
      </c>
      <c r="B7" s="69">
        <v>40025.519999999997</v>
      </c>
      <c r="C7" s="69">
        <v>41812.35</v>
      </c>
      <c r="D7" s="70">
        <v>41926.04</v>
      </c>
      <c r="E7" s="69">
        <v>42906.66</v>
      </c>
      <c r="F7" s="69">
        <v>44536.39</v>
      </c>
    </row>
    <row r="8" spans="1:6" ht="15.5" x14ac:dyDescent="0.35">
      <c r="A8" s="72" t="s">
        <v>38</v>
      </c>
      <c r="B8" s="69">
        <v>35659.82</v>
      </c>
      <c r="C8" s="69">
        <v>37125.75</v>
      </c>
      <c r="D8" s="69">
        <v>37323.24</v>
      </c>
      <c r="E8" s="69">
        <v>38172.97</v>
      </c>
      <c r="F8" s="69">
        <v>39676.949999999997</v>
      </c>
    </row>
    <row r="9" spans="1:6" ht="15.5" x14ac:dyDescent="0.35">
      <c r="A9" s="72" t="s">
        <v>39</v>
      </c>
      <c r="B9" s="69">
        <v>22494.84</v>
      </c>
      <c r="C9" s="69">
        <v>23504.53</v>
      </c>
      <c r="D9" s="70">
        <v>23105.919999999998</v>
      </c>
      <c r="E9" s="69">
        <v>23539.17</v>
      </c>
      <c r="F9" s="69">
        <v>24230.02</v>
      </c>
    </row>
    <row r="10" spans="1:6" ht="15.5" x14ac:dyDescent="0.35">
      <c r="A10" s="72" t="s">
        <v>40</v>
      </c>
      <c r="B10" s="69">
        <v>27736.26</v>
      </c>
      <c r="C10" s="70">
        <v>28894.5</v>
      </c>
      <c r="D10" s="69">
        <v>26746.639999999999</v>
      </c>
      <c r="E10" s="69">
        <v>27193.59</v>
      </c>
      <c r="F10" s="69">
        <v>28064.39</v>
      </c>
    </row>
    <row r="11" spans="1:6" ht="15.5" x14ac:dyDescent="0.35">
      <c r="A11" s="72" t="s">
        <v>41</v>
      </c>
      <c r="B11" s="69">
        <v>35762.04</v>
      </c>
      <c r="C11" s="69">
        <v>37173.14</v>
      </c>
      <c r="D11" s="70">
        <v>36307.61</v>
      </c>
      <c r="E11" s="69">
        <v>37585.5</v>
      </c>
      <c r="F11" s="69">
        <v>38674.15</v>
      </c>
    </row>
    <row r="12" spans="1:6" ht="15.5" x14ac:dyDescent="0.35">
      <c r="A12" s="72" t="s">
        <v>42</v>
      </c>
      <c r="B12" s="69">
        <v>81206.2</v>
      </c>
      <c r="C12" s="69">
        <v>81138.52</v>
      </c>
      <c r="D12" s="69">
        <v>85012.58</v>
      </c>
      <c r="E12" s="69">
        <v>85425.89</v>
      </c>
      <c r="F12" s="69">
        <v>87238.26</v>
      </c>
    </row>
    <row r="13" spans="1:6" ht="15.5" x14ac:dyDescent="0.35">
      <c r="A13" s="72" t="s">
        <v>43</v>
      </c>
      <c r="B13" s="69">
        <v>165768.99</v>
      </c>
      <c r="C13" s="69">
        <v>174812.51</v>
      </c>
      <c r="D13" s="70">
        <v>170089.02</v>
      </c>
      <c r="E13" s="69">
        <v>174941.72</v>
      </c>
      <c r="F13" s="69">
        <v>182908.69</v>
      </c>
    </row>
    <row r="14" spans="1:6" ht="15.5" x14ac:dyDescent="0.35">
      <c r="A14" s="72" t="s">
        <v>44</v>
      </c>
      <c r="B14" s="69">
        <v>29160.06</v>
      </c>
      <c r="C14" s="69">
        <v>30413.37</v>
      </c>
      <c r="D14" s="69">
        <v>30180.54</v>
      </c>
      <c r="E14" s="69">
        <v>30907.59</v>
      </c>
      <c r="F14" s="69">
        <v>32182.15</v>
      </c>
    </row>
    <row r="15" spans="1:6" ht="15.5" x14ac:dyDescent="0.35">
      <c r="A15" s="72" t="s">
        <v>45</v>
      </c>
      <c r="B15" s="69">
        <v>27285.25</v>
      </c>
      <c r="C15" s="69">
        <v>28695.919999999998</v>
      </c>
      <c r="D15" s="69">
        <v>26483.68</v>
      </c>
      <c r="E15" s="69">
        <v>27144.18</v>
      </c>
      <c r="F15" s="69">
        <v>28362.240000000002</v>
      </c>
    </row>
    <row r="16" spans="1:6" ht="15.5" x14ac:dyDescent="0.35">
      <c r="A16" s="72" t="s">
        <v>46</v>
      </c>
      <c r="B16" s="69">
        <v>25776.31</v>
      </c>
      <c r="C16" s="69">
        <v>27008.68</v>
      </c>
      <c r="D16" s="69">
        <v>27754.47</v>
      </c>
      <c r="E16" s="69">
        <v>28918.82</v>
      </c>
      <c r="F16" s="69">
        <v>30011.22</v>
      </c>
    </row>
    <row r="17" spans="1:6" ht="15.5" x14ac:dyDescent="0.35">
      <c r="A17" s="72" t="s">
        <v>47</v>
      </c>
      <c r="B17" s="69">
        <v>39579.949999999997</v>
      </c>
      <c r="C17" s="70">
        <v>41512.199999999997</v>
      </c>
      <c r="D17" s="69">
        <v>39686.19</v>
      </c>
      <c r="E17" s="69">
        <v>40821.89</v>
      </c>
      <c r="F17" s="69">
        <v>42717.440000000002</v>
      </c>
    </row>
    <row r="18" spans="1:6" ht="15.5" x14ac:dyDescent="0.35">
      <c r="A18" s="72" t="s">
        <v>48</v>
      </c>
      <c r="B18" s="69">
        <v>34183.75</v>
      </c>
      <c r="C18" s="69">
        <v>35913.9</v>
      </c>
      <c r="D18" s="69">
        <v>37165.160000000003</v>
      </c>
      <c r="E18" s="69">
        <v>38217.800000000003</v>
      </c>
      <c r="F18" s="69">
        <v>39515.379999999997</v>
      </c>
    </row>
    <row r="19" spans="1:6" ht="15.5" x14ac:dyDescent="0.35">
      <c r="A19" s="72" t="s">
        <v>49</v>
      </c>
      <c r="B19" s="69">
        <v>35896.35</v>
      </c>
      <c r="C19" s="69">
        <v>37297.5</v>
      </c>
      <c r="D19" s="70">
        <v>34216.519999999997</v>
      </c>
      <c r="E19" s="69">
        <v>32975.85</v>
      </c>
      <c r="F19" s="69">
        <v>34160.65</v>
      </c>
    </row>
    <row r="20" spans="1:6" ht="15.5" x14ac:dyDescent="0.35">
      <c r="A20" s="72" t="s">
        <v>50</v>
      </c>
      <c r="B20" s="69">
        <v>18020.5</v>
      </c>
      <c r="C20" s="69">
        <v>18219.11</v>
      </c>
      <c r="D20" s="70">
        <v>17583.11</v>
      </c>
      <c r="E20" s="69">
        <v>17706.47</v>
      </c>
      <c r="F20" s="69">
        <v>18648.189999999999</v>
      </c>
    </row>
    <row r="21" spans="1:6" ht="15.5" x14ac:dyDescent="0.35">
      <c r="A21" s="72" t="s">
        <v>51</v>
      </c>
      <c r="B21" s="69">
        <v>12273.85</v>
      </c>
      <c r="C21" s="69">
        <v>12761.98</v>
      </c>
      <c r="D21" s="69">
        <v>12960.95</v>
      </c>
      <c r="E21" s="69">
        <v>13092.81</v>
      </c>
      <c r="F21" s="69">
        <v>13298.85</v>
      </c>
    </row>
    <row r="22" spans="1:6" ht="15.5" x14ac:dyDescent="0.35">
      <c r="A22" s="72" t="s">
        <v>52</v>
      </c>
      <c r="B22" s="69">
        <v>26110.57</v>
      </c>
      <c r="C22" s="69">
        <v>27199.78</v>
      </c>
      <c r="D22" s="70">
        <v>24953.61</v>
      </c>
      <c r="E22" s="69">
        <v>25811.97</v>
      </c>
      <c r="F22" s="69">
        <v>26774.75</v>
      </c>
    </row>
    <row r="23" spans="1:6" ht="15.5" x14ac:dyDescent="0.35">
      <c r="A23" s="72" t="s">
        <v>53</v>
      </c>
      <c r="B23" s="69">
        <v>35548.43</v>
      </c>
      <c r="C23" s="70">
        <v>37870.47</v>
      </c>
      <c r="D23" s="70">
        <v>37148.730000000003</v>
      </c>
      <c r="E23" s="69">
        <v>37925.620000000003</v>
      </c>
      <c r="F23" s="69">
        <v>39515.379999999997</v>
      </c>
    </row>
    <row r="24" spans="1:6" ht="15.5" x14ac:dyDescent="0.35">
      <c r="A24" s="72" t="s">
        <v>54</v>
      </c>
      <c r="B24" s="69">
        <v>30614.85</v>
      </c>
      <c r="C24" s="70">
        <v>31611.46</v>
      </c>
      <c r="D24" s="69">
        <v>32212.3</v>
      </c>
      <c r="E24" s="69">
        <v>32849.019999999997</v>
      </c>
      <c r="F24" s="69">
        <v>34035.519999999997</v>
      </c>
    </row>
    <row r="25" spans="1:6" ht="15.5" x14ac:dyDescent="0.35">
      <c r="A25" s="72" t="s">
        <v>55</v>
      </c>
      <c r="B25" s="69">
        <v>127354.19</v>
      </c>
      <c r="C25" s="70">
        <v>134410.54999999999</v>
      </c>
      <c r="D25" s="70">
        <v>125764.53</v>
      </c>
      <c r="E25" s="69">
        <v>127208.24</v>
      </c>
      <c r="F25" s="69">
        <v>131136.62</v>
      </c>
    </row>
    <row r="26" spans="1:6" ht="15.5" x14ac:dyDescent="0.35">
      <c r="A26" s="72" t="s">
        <v>56</v>
      </c>
      <c r="B26" s="69">
        <v>80204.84</v>
      </c>
      <c r="C26" s="69">
        <v>88299.520000000004</v>
      </c>
      <c r="D26" s="70">
        <v>86823.59</v>
      </c>
      <c r="E26" s="69">
        <v>88510.41</v>
      </c>
      <c r="F26" s="69">
        <v>91424.16</v>
      </c>
    </row>
    <row r="27" spans="1:6" ht="15.5" x14ac:dyDescent="0.35">
      <c r="A27" s="72" t="s">
        <v>57</v>
      </c>
      <c r="B27" s="69">
        <v>33911.61</v>
      </c>
      <c r="C27" s="70">
        <v>35687.440000000002</v>
      </c>
      <c r="D27" s="69">
        <v>33670.44</v>
      </c>
      <c r="E27" s="69">
        <v>34787.33</v>
      </c>
      <c r="F27" s="69">
        <v>36385.08</v>
      </c>
    </row>
    <row r="28" spans="1:6" ht="15.5" x14ac:dyDescent="0.35">
      <c r="A28" s="72" t="s">
        <v>58</v>
      </c>
      <c r="B28" s="69">
        <v>39049.35</v>
      </c>
      <c r="C28" s="69">
        <v>42054.5</v>
      </c>
      <c r="D28" s="70">
        <v>45052.32</v>
      </c>
      <c r="E28" s="69">
        <v>49587.96</v>
      </c>
      <c r="F28" s="69">
        <v>56285.05</v>
      </c>
    </row>
    <row r="29" spans="1:6" ht="15.5" x14ac:dyDescent="0.35">
      <c r="A29" s="72" t="s">
        <v>59</v>
      </c>
      <c r="B29" s="69">
        <v>35243.64</v>
      </c>
      <c r="C29" s="69">
        <v>37474.29</v>
      </c>
      <c r="D29" s="69">
        <v>36246.26</v>
      </c>
      <c r="E29" s="69">
        <v>37572.54</v>
      </c>
      <c r="F29" s="69">
        <v>39115.980000000003</v>
      </c>
    </row>
    <row r="30" spans="1:6" ht="15.5" x14ac:dyDescent="0.35">
      <c r="A30" s="72" t="s">
        <v>60</v>
      </c>
      <c r="B30" s="69">
        <v>33278.660000000003</v>
      </c>
      <c r="C30" s="70">
        <v>35309.9</v>
      </c>
      <c r="D30" s="70">
        <v>35708.6</v>
      </c>
      <c r="E30" s="69">
        <v>36581.67</v>
      </c>
      <c r="F30" s="69">
        <v>37998.089999999997</v>
      </c>
    </row>
    <row r="31" spans="1:6" ht="15.5" x14ac:dyDescent="0.35">
      <c r="A31" s="72" t="s">
        <v>61</v>
      </c>
      <c r="B31" s="69">
        <v>22538.55</v>
      </c>
      <c r="C31" s="70">
        <v>24167.56</v>
      </c>
      <c r="D31" s="69">
        <v>24313.38</v>
      </c>
      <c r="E31" s="69">
        <v>24649.73</v>
      </c>
      <c r="F31" s="69">
        <v>25392.400000000001</v>
      </c>
    </row>
    <row r="32" spans="1:6" ht="15.5" x14ac:dyDescent="0.35">
      <c r="A32" s="72" t="s">
        <v>62</v>
      </c>
      <c r="B32" s="69">
        <v>22953.08</v>
      </c>
      <c r="C32" s="69">
        <v>24163.56</v>
      </c>
      <c r="D32" s="70">
        <v>22666.22</v>
      </c>
      <c r="E32" s="69">
        <v>22896.2</v>
      </c>
      <c r="F32" s="69">
        <v>23073.25</v>
      </c>
    </row>
    <row r="33" spans="1:6" ht="15.5" x14ac:dyDescent="0.35">
      <c r="A33" s="72" t="s">
        <v>63</v>
      </c>
      <c r="B33" s="69">
        <v>16607.02</v>
      </c>
      <c r="C33" s="70">
        <v>17556.86</v>
      </c>
      <c r="D33" s="70">
        <v>16688.12</v>
      </c>
      <c r="E33" s="69">
        <v>17020.46</v>
      </c>
      <c r="F33" s="69">
        <v>17708.13</v>
      </c>
    </row>
    <row r="34" spans="1:6" ht="15.5" x14ac:dyDescent="0.35">
      <c r="A34" s="72" t="s">
        <v>64</v>
      </c>
      <c r="B34" s="69">
        <v>20309.45</v>
      </c>
      <c r="C34" s="69">
        <v>21524.99</v>
      </c>
      <c r="D34" s="70">
        <v>21915.03</v>
      </c>
      <c r="E34" s="69">
        <v>25199.919999999998</v>
      </c>
      <c r="F34" s="69">
        <v>30506.5</v>
      </c>
    </row>
    <row r="35" spans="1:6" ht="15.5" x14ac:dyDescent="0.35">
      <c r="A35" s="72" t="s">
        <v>65</v>
      </c>
      <c r="B35" s="69">
        <v>64499.45</v>
      </c>
      <c r="C35" s="69">
        <v>64418.52</v>
      </c>
      <c r="D35" s="70">
        <v>54487.7</v>
      </c>
      <c r="E35" s="69">
        <v>52980.01</v>
      </c>
      <c r="F35" s="69">
        <v>52833.61</v>
      </c>
    </row>
    <row r="36" spans="1:6" ht="15.5" x14ac:dyDescent="0.35">
      <c r="A36" s="72" t="s">
        <v>66</v>
      </c>
      <c r="B36" s="69">
        <v>48069.41</v>
      </c>
      <c r="C36" s="69">
        <v>40203.42</v>
      </c>
      <c r="D36" s="69">
        <v>32108.51</v>
      </c>
      <c r="E36" s="69">
        <v>36431.25</v>
      </c>
      <c r="F36" s="69">
        <v>39131.31</v>
      </c>
    </row>
    <row r="37" spans="1:6" ht="15.5" x14ac:dyDescent="0.35">
      <c r="A37" s="73" t="s">
        <v>67</v>
      </c>
      <c r="B37" s="71">
        <v>39340.559999999998</v>
      </c>
      <c r="C37" s="71">
        <v>41021.61</v>
      </c>
      <c r="D37" s="71">
        <v>39778.68</v>
      </c>
      <c r="E37" s="71">
        <v>40780.31</v>
      </c>
      <c r="F37" s="71">
        <v>42463.78</v>
      </c>
    </row>
  </sheetData>
  <mergeCells count="2">
    <mergeCell ref="B1:F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A423-81F5-4E35-BF79-A05F323A887B}">
  <dimension ref="A2:AL45"/>
  <sheetViews>
    <sheetView workbookViewId="0">
      <selection activeCell="G9" sqref="G9"/>
    </sheetView>
  </sheetViews>
  <sheetFormatPr defaultRowHeight="14.5" x14ac:dyDescent="0.35"/>
  <cols>
    <col min="2" max="2" width="30.54296875" customWidth="1"/>
    <col min="3" max="3" width="26.453125" customWidth="1"/>
    <col min="4" max="5" width="8.90625" hidden="1" customWidth="1"/>
  </cols>
  <sheetData>
    <row r="2" spans="1:5" ht="15.5" x14ac:dyDescent="0.35">
      <c r="A2" s="133" t="s">
        <v>112</v>
      </c>
      <c r="B2" s="133"/>
      <c r="C2" s="132">
        <v>44896</v>
      </c>
      <c r="D2" s="132"/>
      <c r="E2" s="132"/>
    </row>
    <row r="3" spans="1:5" ht="31" x14ac:dyDescent="0.35">
      <c r="A3" s="133"/>
      <c r="B3" s="133"/>
      <c r="C3" s="88" t="s">
        <v>72</v>
      </c>
      <c r="D3" s="89"/>
      <c r="E3" s="89"/>
    </row>
    <row r="4" spans="1:5" ht="15.5" x14ac:dyDescent="0.35">
      <c r="A4" s="90" t="s">
        <v>73</v>
      </c>
      <c r="B4" s="91"/>
      <c r="C4" s="96">
        <v>14946866</v>
      </c>
      <c r="D4" s="89"/>
      <c r="E4" s="89"/>
    </row>
    <row r="5" spans="1:5" ht="15.5" x14ac:dyDescent="0.35">
      <c r="A5" s="92"/>
      <c r="B5" s="93" t="s">
        <v>74</v>
      </c>
      <c r="C5" s="97">
        <v>1713059</v>
      </c>
      <c r="D5" s="89"/>
      <c r="E5" s="89"/>
    </row>
    <row r="6" spans="1:5" ht="15.5" x14ac:dyDescent="0.35">
      <c r="A6" s="92"/>
      <c r="B6" s="93" t="s">
        <v>75</v>
      </c>
      <c r="C6" s="97">
        <v>3070303</v>
      </c>
      <c r="D6" s="89"/>
      <c r="E6" s="89"/>
    </row>
    <row r="7" spans="1:5" ht="15.5" x14ac:dyDescent="0.35">
      <c r="A7" s="92"/>
      <c r="B7" s="93" t="s">
        <v>76</v>
      </c>
      <c r="C7" s="97">
        <v>5707696</v>
      </c>
      <c r="D7" s="89"/>
      <c r="E7" s="89"/>
    </row>
    <row r="8" spans="1:5" ht="15.5" x14ac:dyDescent="0.35">
      <c r="A8" s="92"/>
      <c r="B8" s="93" t="s">
        <v>77</v>
      </c>
      <c r="C8" s="97">
        <v>1804189</v>
      </c>
      <c r="D8" s="89"/>
      <c r="E8" s="89"/>
    </row>
    <row r="9" spans="1:5" ht="15.5" x14ac:dyDescent="0.35">
      <c r="A9" s="92"/>
      <c r="B9" s="93" t="s">
        <v>78</v>
      </c>
      <c r="C9" s="97">
        <v>327815</v>
      </c>
      <c r="D9" s="89"/>
      <c r="E9" s="89"/>
    </row>
    <row r="10" spans="1:5" ht="15.5" x14ac:dyDescent="0.35">
      <c r="A10" s="92"/>
      <c r="B10" s="93" t="s">
        <v>79</v>
      </c>
      <c r="C10" s="97">
        <v>2323804</v>
      </c>
      <c r="D10" s="89"/>
      <c r="E10" s="89"/>
    </row>
    <row r="11" spans="1:5" ht="15.5" x14ac:dyDescent="0.35">
      <c r="A11" s="90" t="s">
        <v>80</v>
      </c>
      <c r="B11" s="91"/>
      <c r="C11" s="96">
        <v>4770230</v>
      </c>
      <c r="D11" s="89"/>
      <c r="E11" s="89"/>
    </row>
    <row r="12" spans="1:5" ht="15.5" x14ac:dyDescent="0.35">
      <c r="A12" s="92"/>
      <c r="B12" s="93" t="s">
        <v>81</v>
      </c>
      <c r="C12" s="97">
        <v>64925</v>
      </c>
      <c r="D12" s="89"/>
      <c r="E12" s="89"/>
    </row>
    <row r="13" spans="1:5" ht="15.5" x14ac:dyDescent="0.35">
      <c r="A13" s="92"/>
      <c r="B13" s="93" t="s">
        <v>82</v>
      </c>
      <c r="C13" s="97">
        <v>626643</v>
      </c>
      <c r="D13" s="89"/>
      <c r="E13" s="89"/>
    </row>
    <row r="14" spans="1:5" ht="15.5" x14ac:dyDescent="0.35">
      <c r="A14" s="92"/>
      <c r="B14" s="93" t="s">
        <v>83</v>
      </c>
      <c r="C14" s="97">
        <v>271438</v>
      </c>
      <c r="D14" s="89"/>
      <c r="E14" s="89"/>
    </row>
    <row r="15" spans="1:5" ht="15.5" x14ac:dyDescent="0.35">
      <c r="A15" s="92"/>
      <c r="B15" s="93" t="s">
        <v>84</v>
      </c>
      <c r="C15" s="97">
        <v>280890</v>
      </c>
      <c r="D15" s="89"/>
      <c r="E15" s="89"/>
    </row>
    <row r="16" spans="1:5" ht="15.5" x14ac:dyDescent="0.35">
      <c r="A16" s="92"/>
      <c r="B16" s="93" t="s">
        <v>85</v>
      </c>
      <c r="C16" s="97">
        <v>209151</v>
      </c>
      <c r="D16" s="89"/>
      <c r="E16" s="89"/>
    </row>
    <row r="17" spans="1:5" ht="15.5" x14ac:dyDescent="0.35">
      <c r="A17" s="92"/>
      <c r="B17" s="93" t="s">
        <v>86</v>
      </c>
      <c r="C17" s="97">
        <v>62296</v>
      </c>
      <c r="D17" s="89"/>
      <c r="E17" s="89"/>
    </row>
    <row r="18" spans="1:5" ht="15.5" x14ac:dyDescent="0.35">
      <c r="A18" s="92"/>
      <c r="B18" s="93" t="s">
        <v>87</v>
      </c>
      <c r="C18" s="97">
        <v>157170</v>
      </c>
      <c r="D18" s="89"/>
      <c r="E18" s="89"/>
    </row>
    <row r="19" spans="1:5" ht="15.5" x14ac:dyDescent="0.35">
      <c r="A19" s="92"/>
      <c r="B19" s="93" t="s">
        <v>88</v>
      </c>
      <c r="C19" s="97">
        <v>436123</v>
      </c>
      <c r="D19" s="89"/>
      <c r="E19" s="89"/>
    </row>
    <row r="20" spans="1:5" ht="15.5" x14ac:dyDescent="0.35">
      <c r="A20" s="92"/>
      <c r="B20" s="93" t="s">
        <v>89</v>
      </c>
      <c r="C20" s="97">
        <v>63275</v>
      </c>
      <c r="D20" s="89"/>
      <c r="E20" s="89"/>
    </row>
    <row r="21" spans="1:5" ht="15.5" x14ac:dyDescent="0.35">
      <c r="A21" s="92"/>
      <c r="B21" s="93" t="s">
        <v>90</v>
      </c>
      <c r="C21" s="97">
        <v>344122</v>
      </c>
      <c r="D21" s="89"/>
      <c r="E21" s="89"/>
    </row>
    <row r="22" spans="1:5" ht="15.5" x14ac:dyDescent="0.35">
      <c r="A22" s="92"/>
      <c r="B22" s="93" t="s">
        <v>91</v>
      </c>
      <c r="C22" s="97">
        <v>167206</v>
      </c>
      <c r="D22" s="89"/>
      <c r="E22" s="89"/>
    </row>
    <row r="23" spans="1:5" ht="15.5" x14ac:dyDescent="0.35">
      <c r="A23" s="92"/>
      <c r="B23" s="93" t="s">
        <v>92</v>
      </c>
      <c r="C23" s="97">
        <v>115925</v>
      </c>
      <c r="D23" s="89"/>
      <c r="E23" s="89"/>
    </row>
    <row r="24" spans="1:5" ht="15.5" x14ac:dyDescent="0.35">
      <c r="A24" s="92"/>
      <c r="B24" s="93" t="s">
        <v>93</v>
      </c>
      <c r="C24" s="97">
        <v>27476</v>
      </c>
      <c r="D24" s="89"/>
      <c r="E24" s="89"/>
    </row>
    <row r="25" spans="1:5" ht="15.5" x14ac:dyDescent="0.35">
      <c r="A25" s="92"/>
      <c r="B25" s="93" t="s">
        <v>94</v>
      </c>
      <c r="C25" s="97">
        <v>280797</v>
      </c>
      <c r="D25" s="89"/>
      <c r="E25" s="89"/>
    </row>
    <row r="26" spans="1:5" ht="15.5" x14ac:dyDescent="0.35">
      <c r="A26" s="92"/>
      <c r="B26" s="93" t="s">
        <v>95</v>
      </c>
      <c r="C26" s="97">
        <v>210995</v>
      </c>
      <c r="D26" s="89"/>
      <c r="E26" s="89"/>
    </row>
    <row r="27" spans="1:5" ht="15.5" x14ac:dyDescent="0.35">
      <c r="A27" s="92"/>
      <c r="B27" s="93" t="s">
        <v>96</v>
      </c>
      <c r="C27" s="97">
        <v>188480</v>
      </c>
      <c r="D27" s="89"/>
      <c r="E27" s="89"/>
    </row>
    <row r="28" spans="1:5" ht="15.5" x14ac:dyDescent="0.35">
      <c r="A28" s="92"/>
      <c r="B28" s="93" t="s">
        <v>97</v>
      </c>
      <c r="C28" s="97">
        <v>57063</v>
      </c>
      <c r="D28" s="89"/>
      <c r="E28" s="89"/>
    </row>
    <row r="29" spans="1:5" ht="15.5" x14ac:dyDescent="0.35">
      <c r="A29" s="92"/>
      <c r="B29" s="93" t="s">
        <v>98</v>
      </c>
      <c r="C29" s="97">
        <v>108567</v>
      </c>
      <c r="D29" s="89"/>
      <c r="E29" s="89"/>
    </row>
    <row r="30" spans="1:5" ht="15.5" x14ac:dyDescent="0.35">
      <c r="A30" s="92"/>
      <c r="B30" s="93" t="s">
        <v>99</v>
      </c>
      <c r="C30" s="97">
        <v>32511</v>
      </c>
      <c r="D30" s="89"/>
      <c r="E30" s="89"/>
    </row>
    <row r="31" spans="1:5" ht="15.5" x14ac:dyDescent="0.35">
      <c r="A31" s="92"/>
      <c r="B31" s="93" t="s">
        <v>100</v>
      </c>
      <c r="C31" s="97">
        <v>389568</v>
      </c>
      <c r="D31" s="89"/>
      <c r="E31" s="89"/>
    </row>
    <row r="32" spans="1:5" ht="15.5" x14ac:dyDescent="0.35">
      <c r="A32" s="92"/>
      <c r="B32" s="93" t="s">
        <v>101</v>
      </c>
      <c r="C32" s="97">
        <v>75880</v>
      </c>
      <c r="D32" s="89"/>
      <c r="E32" s="89"/>
    </row>
    <row r="33" spans="1:38" ht="15.5" x14ac:dyDescent="0.35">
      <c r="A33" s="92"/>
      <c r="B33" s="93" t="s">
        <v>102</v>
      </c>
      <c r="C33" s="97">
        <v>268068</v>
      </c>
      <c r="D33" s="89"/>
      <c r="E33" s="89"/>
    </row>
    <row r="34" spans="1:38" ht="15.5" x14ac:dyDescent="0.35">
      <c r="A34" s="92"/>
      <c r="B34" s="93" t="s">
        <v>103</v>
      </c>
      <c r="C34" s="97">
        <v>106306</v>
      </c>
      <c r="D34" s="89"/>
      <c r="E34" s="89"/>
    </row>
    <row r="35" spans="1:38" ht="15.5" x14ac:dyDescent="0.35">
      <c r="A35" s="92"/>
      <c r="B35" s="93" t="s">
        <v>104</v>
      </c>
      <c r="C35" s="97">
        <v>71717</v>
      </c>
      <c r="D35" s="89"/>
      <c r="E35" s="89"/>
    </row>
    <row r="36" spans="1:38" ht="15.5" x14ac:dyDescent="0.35">
      <c r="A36" s="92"/>
      <c r="B36" s="93" t="s">
        <v>105</v>
      </c>
      <c r="C36" s="97">
        <v>25218</v>
      </c>
      <c r="D36" s="89"/>
      <c r="E36" s="89"/>
    </row>
    <row r="37" spans="1:38" ht="15.5" x14ac:dyDescent="0.35">
      <c r="A37" s="92"/>
      <c r="B37" s="93" t="s">
        <v>106</v>
      </c>
      <c r="C37" s="97">
        <v>44255</v>
      </c>
      <c r="D37" s="89"/>
      <c r="E37" s="89"/>
    </row>
    <row r="38" spans="1:38" ht="15.5" x14ac:dyDescent="0.35">
      <c r="A38" s="92"/>
      <c r="B38" s="93" t="s">
        <v>107</v>
      </c>
      <c r="C38" s="97">
        <v>26855</v>
      </c>
      <c r="D38" s="89"/>
      <c r="E38" s="89"/>
    </row>
    <row r="39" spans="1:38" ht="15.5" x14ac:dyDescent="0.35">
      <c r="A39" s="92"/>
      <c r="B39" s="93" t="s">
        <v>108</v>
      </c>
      <c r="C39" s="97">
        <v>57310</v>
      </c>
      <c r="D39" s="89"/>
      <c r="E39" s="89"/>
    </row>
    <row r="40" spans="1:38" ht="15.5" x14ac:dyDescent="0.35">
      <c r="A40" s="94"/>
      <c r="B40" s="95" t="s">
        <v>109</v>
      </c>
      <c r="C40" s="96">
        <v>19717096</v>
      </c>
      <c r="D40" s="89"/>
      <c r="E40" s="89"/>
    </row>
    <row r="41" spans="1:38" x14ac:dyDescent="0.35">
      <c r="A41" s="136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8"/>
    </row>
    <row r="42" spans="1:38" x14ac:dyDescent="0.35">
      <c r="B42" s="87" t="s">
        <v>110</v>
      </c>
    </row>
    <row r="43" spans="1:38" x14ac:dyDescent="0.35">
      <c r="B43" s="87" t="s">
        <v>111</v>
      </c>
    </row>
    <row r="45" spans="1:38" x14ac:dyDescent="0.35">
      <c r="A45" s="79"/>
    </row>
  </sheetData>
  <mergeCells count="4">
    <mergeCell ref="A3:B3"/>
    <mergeCell ref="A41:AL41"/>
    <mergeCell ref="C2:E2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D13F-4745-4D8C-B911-8D7B9A28DDB2}">
  <dimension ref="A1:B5"/>
  <sheetViews>
    <sheetView workbookViewId="0">
      <selection activeCell="G10" sqref="G10"/>
    </sheetView>
  </sheetViews>
  <sheetFormatPr defaultRowHeight="14.5" x14ac:dyDescent="0.35"/>
  <cols>
    <col min="2" max="2" width="13" customWidth="1"/>
  </cols>
  <sheetData>
    <row r="1" spans="1:2" ht="15.5" thickBot="1" x14ac:dyDescent="0.4">
      <c r="A1" s="1" t="s">
        <v>0</v>
      </c>
      <c r="B1" s="2" t="s">
        <v>69</v>
      </c>
    </row>
    <row r="2" spans="1:2" ht="16" thickBot="1" x14ac:dyDescent="0.4">
      <c r="A2" s="6">
        <v>2019</v>
      </c>
      <c r="B2" s="5">
        <v>128755270</v>
      </c>
    </row>
    <row r="3" spans="1:2" ht="16" thickBot="1" x14ac:dyDescent="0.4">
      <c r="A3" s="6">
        <v>2020</v>
      </c>
      <c r="B3" s="5">
        <v>128454180</v>
      </c>
    </row>
    <row r="4" spans="1:2" ht="16" thickBot="1" x14ac:dyDescent="0.4">
      <c r="A4" s="6">
        <v>2021</v>
      </c>
      <c r="B4" s="5">
        <v>131050520</v>
      </c>
    </row>
    <row r="5" spans="1:2" ht="16" thickBot="1" x14ac:dyDescent="0.4">
      <c r="A5" s="6">
        <v>2022</v>
      </c>
      <c r="B5" s="5">
        <v>135296710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B531-3815-499B-ABEF-D4B08A1A2A16}">
  <dimension ref="A1:B5"/>
  <sheetViews>
    <sheetView workbookViewId="0">
      <selection activeCell="D9" sqref="D9"/>
    </sheetView>
  </sheetViews>
  <sheetFormatPr defaultRowHeight="14.5" x14ac:dyDescent="0.35"/>
  <cols>
    <col min="2" max="2" width="13.1796875" customWidth="1"/>
  </cols>
  <sheetData>
    <row r="1" spans="1:2" ht="15.5" thickBot="1" x14ac:dyDescent="0.4">
      <c r="A1" s="1" t="s">
        <v>0</v>
      </c>
      <c r="B1" s="2" t="s">
        <v>69</v>
      </c>
    </row>
    <row r="2" spans="1:2" ht="16" thickBot="1" x14ac:dyDescent="0.4">
      <c r="A2" s="6">
        <v>2019</v>
      </c>
      <c r="B2" s="5">
        <v>7104420</v>
      </c>
    </row>
    <row r="3" spans="1:2" ht="16" thickBot="1" x14ac:dyDescent="0.4">
      <c r="A3" s="6">
        <v>2020</v>
      </c>
      <c r="B3" s="5">
        <v>9767750</v>
      </c>
    </row>
    <row r="4" spans="1:2" ht="16" thickBot="1" x14ac:dyDescent="0.4">
      <c r="A4" s="6">
        <v>2021</v>
      </c>
      <c r="B4" s="5">
        <v>9102050</v>
      </c>
    </row>
    <row r="5" spans="1:2" ht="16" thickBot="1" x14ac:dyDescent="0.4">
      <c r="A5" s="6">
        <v>2022</v>
      </c>
      <c r="B5" s="5">
        <v>8425930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A87C-A63D-42AA-831C-8BE02DCFB91E}">
  <dimension ref="A1:B6"/>
  <sheetViews>
    <sheetView workbookViewId="0">
      <selection activeCell="F5" sqref="F5"/>
    </sheetView>
  </sheetViews>
  <sheetFormatPr defaultRowHeight="14.5" x14ac:dyDescent="0.35"/>
  <cols>
    <col min="2" max="2" width="17.54296875" customWidth="1"/>
  </cols>
  <sheetData>
    <row r="1" spans="1:2" ht="60.5" thickBot="1" x14ac:dyDescent="0.4">
      <c r="A1" s="1" t="s">
        <v>0</v>
      </c>
      <c r="B1" s="2" t="s">
        <v>1</v>
      </c>
    </row>
    <row r="2" spans="1:2" ht="15.5" thickBot="1" x14ac:dyDescent="0.4">
      <c r="A2" s="63">
        <v>2018</v>
      </c>
      <c r="B2" s="64"/>
    </row>
    <row r="3" spans="1:2" ht="16" thickBot="1" x14ac:dyDescent="0.4">
      <c r="A3" s="3">
        <v>2019</v>
      </c>
      <c r="B3" s="4">
        <v>25</v>
      </c>
    </row>
    <row r="4" spans="1:2" ht="16" thickBot="1" x14ac:dyDescent="0.4">
      <c r="A4" s="3">
        <v>2020</v>
      </c>
      <c r="B4" s="4">
        <v>37</v>
      </c>
    </row>
    <row r="5" spans="1:2" ht="16" thickBot="1" x14ac:dyDescent="0.4">
      <c r="A5" s="3">
        <v>2021</v>
      </c>
      <c r="B5" s="4">
        <v>103</v>
      </c>
    </row>
    <row r="6" spans="1:2" ht="16" thickBot="1" x14ac:dyDescent="0.4">
      <c r="A6" s="3">
        <v>2022</v>
      </c>
      <c r="B6" s="4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372D-B2BD-4D21-8C9C-2D1A62C02E2B}">
  <dimension ref="A1:F36"/>
  <sheetViews>
    <sheetView zoomScale="70" zoomScaleNormal="70" workbookViewId="0">
      <selection activeCell="H13" sqref="H13"/>
    </sheetView>
  </sheetViews>
  <sheetFormatPr defaultRowHeight="14.5" x14ac:dyDescent="0.35"/>
  <cols>
    <col min="1" max="2" width="19.6328125" customWidth="1"/>
    <col min="3" max="3" width="11.90625" customWidth="1"/>
    <col min="4" max="4" width="13" customWidth="1"/>
    <col min="5" max="5" width="14.54296875" customWidth="1"/>
    <col min="6" max="6" width="12.6328125" customWidth="1"/>
  </cols>
  <sheetData>
    <row r="1" spans="1:6" ht="15.5" x14ac:dyDescent="0.35">
      <c r="A1" s="66"/>
      <c r="B1" s="74">
        <v>2018</v>
      </c>
      <c r="C1" s="74">
        <v>2019</v>
      </c>
      <c r="D1" s="74">
        <v>2020</v>
      </c>
      <c r="E1" s="74">
        <v>2021</v>
      </c>
      <c r="F1" s="74">
        <v>2022</v>
      </c>
    </row>
    <row r="2" spans="1:6" ht="15.5" x14ac:dyDescent="0.35">
      <c r="A2" s="74" t="s">
        <v>33</v>
      </c>
      <c r="B2" s="76">
        <v>9186</v>
      </c>
      <c r="C2" s="75">
        <v>9603</v>
      </c>
      <c r="D2" s="75">
        <v>9492</v>
      </c>
      <c r="E2" s="75">
        <v>9572</v>
      </c>
      <c r="F2" s="75">
        <v>9963</v>
      </c>
    </row>
    <row r="3" spans="1:6" ht="15.5" x14ac:dyDescent="0.35">
      <c r="A3" s="74" t="s">
        <v>34</v>
      </c>
      <c r="B3" s="76">
        <v>10391</v>
      </c>
      <c r="C3" s="75">
        <v>10649</v>
      </c>
      <c r="D3" s="75">
        <v>10420</v>
      </c>
      <c r="E3" s="75">
        <v>10499</v>
      </c>
      <c r="F3" s="75">
        <v>10848</v>
      </c>
    </row>
    <row r="4" spans="1:6" ht="15.5" x14ac:dyDescent="0.35">
      <c r="A4" s="74" t="s">
        <v>35</v>
      </c>
      <c r="B4" s="76">
        <v>10638</v>
      </c>
      <c r="C4" s="75">
        <v>10925</v>
      </c>
      <c r="D4" s="75">
        <v>10733</v>
      </c>
      <c r="E4" s="75">
        <v>10790</v>
      </c>
      <c r="F4" s="75">
        <v>11130</v>
      </c>
    </row>
    <row r="5" spans="1:6" ht="15.5" x14ac:dyDescent="0.35">
      <c r="A5" s="74" t="s">
        <v>36</v>
      </c>
      <c r="B5" s="76">
        <v>10968</v>
      </c>
      <c r="C5" s="75">
        <v>11255</v>
      </c>
      <c r="D5" s="75">
        <v>10675</v>
      </c>
      <c r="E5" s="75">
        <v>10736</v>
      </c>
      <c r="F5" s="75">
        <v>11158</v>
      </c>
    </row>
    <row r="6" spans="1:6" ht="15.5" x14ac:dyDescent="0.35">
      <c r="A6" s="74" t="s">
        <v>37</v>
      </c>
      <c r="B6" s="76">
        <v>10357</v>
      </c>
      <c r="C6" s="75">
        <v>10592</v>
      </c>
      <c r="D6" s="75">
        <v>10392</v>
      </c>
      <c r="E6" s="75">
        <v>10588</v>
      </c>
      <c r="F6" s="75">
        <v>10871</v>
      </c>
    </row>
    <row r="7" spans="1:6" ht="31" x14ac:dyDescent="0.35">
      <c r="A7" s="74" t="s">
        <v>38</v>
      </c>
      <c r="B7" s="76">
        <v>10652</v>
      </c>
      <c r="C7" s="75">
        <v>10937</v>
      </c>
      <c r="D7" s="75">
        <v>10652</v>
      </c>
      <c r="E7" s="75">
        <v>10662</v>
      </c>
      <c r="F7" s="75">
        <v>11109</v>
      </c>
    </row>
    <row r="8" spans="1:6" ht="15.5" x14ac:dyDescent="0.35">
      <c r="A8" s="74" t="s">
        <v>39</v>
      </c>
      <c r="B8" s="76">
        <v>10162</v>
      </c>
      <c r="C8" s="75">
        <v>10409</v>
      </c>
      <c r="D8" s="75">
        <v>10380</v>
      </c>
      <c r="E8" s="75">
        <v>10487</v>
      </c>
      <c r="F8" s="75">
        <v>10840</v>
      </c>
    </row>
    <row r="9" spans="1:6" ht="15.5" x14ac:dyDescent="0.35">
      <c r="A9" s="74" t="s">
        <v>40</v>
      </c>
      <c r="B9" s="76">
        <v>9858</v>
      </c>
      <c r="C9" s="75">
        <v>10114</v>
      </c>
      <c r="D9" s="75">
        <v>9982</v>
      </c>
      <c r="E9" s="75">
        <v>10038</v>
      </c>
      <c r="F9" s="75">
        <v>10336</v>
      </c>
    </row>
    <row r="10" spans="1:6" ht="31" x14ac:dyDescent="0.35">
      <c r="A10" s="74" t="s">
        <v>41</v>
      </c>
      <c r="B10" s="76">
        <v>12666</v>
      </c>
      <c r="C10" s="75">
        <v>12959</v>
      </c>
      <c r="D10" s="75">
        <v>12794</v>
      </c>
      <c r="E10" s="75">
        <v>12819</v>
      </c>
      <c r="F10" s="75">
        <v>13358</v>
      </c>
    </row>
    <row r="11" spans="1:6" ht="15.5" x14ac:dyDescent="0.35">
      <c r="A11" s="74" t="s">
        <v>70</v>
      </c>
      <c r="B11" s="76">
        <v>13976</v>
      </c>
      <c r="C11" s="75">
        <v>14466</v>
      </c>
      <c r="D11" s="75">
        <v>14209</v>
      </c>
      <c r="E11" s="75">
        <v>14122</v>
      </c>
      <c r="F11" s="75">
        <v>14469</v>
      </c>
    </row>
    <row r="12" spans="1:6" ht="15.5" x14ac:dyDescent="0.35">
      <c r="A12" s="74" t="s">
        <v>43</v>
      </c>
      <c r="B12" s="76">
        <v>18128</v>
      </c>
      <c r="C12" s="75">
        <v>18527</v>
      </c>
      <c r="D12" s="75">
        <v>18227</v>
      </c>
      <c r="E12" s="75">
        <v>18520</v>
      </c>
      <c r="F12" s="75">
        <v>18927</v>
      </c>
    </row>
    <row r="13" spans="1:6" ht="15.5" x14ac:dyDescent="0.35">
      <c r="A13" s="74" t="s">
        <v>44</v>
      </c>
      <c r="B13" s="76">
        <v>10790</v>
      </c>
      <c r="C13" s="75">
        <v>11152</v>
      </c>
      <c r="D13" s="75">
        <v>10845</v>
      </c>
      <c r="E13" s="75">
        <v>10934</v>
      </c>
      <c r="F13" s="75">
        <v>11277</v>
      </c>
    </row>
    <row r="14" spans="1:6" ht="15.5" x14ac:dyDescent="0.35">
      <c r="A14" s="74" t="s">
        <v>45</v>
      </c>
      <c r="B14" s="76">
        <v>10777</v>
      </c>
      <c r="C14" s="75">
        <v>11102</v>
      </c>
      <c r="D14" s="75">
        <v>10930</v>
      </c>
      <c r="E14" s="75">
        <v>11034</v>
      </c>
      <c r="F14" s="75">
        <v>11377</v>
      </c>
    </row>
    <row r="15" spans="1:6" ht="15.5" x14ac:dyDescent="0.35">
      <c r="A15" s="74" t="s">
        <v>71</v>
      </c>
      <c r="B15" s="76">
        <v>13946</v>
      </c>
      <c r="C15" s="75">
        <v>14394</v>
      </c>
      <c r="D15" s="75">
        <v>14015</v>
      </c>
      <c r="E15" s="75">
        <v>14111</v>
      </c>
      <c r="F15" s="75">
        <v>14482</v>
      </c>
    </row>
    <row r="16" spans="1:6" ht="15.5" x14ac:dyDescent="0.35">
      <c r="A16" s="74" t="s">
        <v>47</v>
      </c>
      <c r="B16" s="76">
        <v>11380</v>
      </c>
      <c r="C16" s="75">
        <v>11739</v>
      </c>
      <c r="D16" s="75">
        <v>11601</v>
      </c>
      <c r="E16" s="75">
        <v>11707</v>
      </c>
      <c r="F16" s="75">
        <v>11992</v>
      </c>
    </row>
    <row r="17" spans="1:6" ht="15.5" x14ac:dyDescent="0.35">
      <c r="A17" s="74" t="s">
        <v>48</v>
      </c>
      <c r="B17" s="76">
        <v>11994</v>
      </c>
      <c r="C17" s="75">
        <v>12267</v>
      </c>
      <c r="D17" s="75">
        <v>11964</v>
      </c>
      <c r="E17" s="75">
        <v>12033</v>
      </c>
      <c r="F17" s="75">
        <v>12216</v>
      </c>
    </row>
    <row r="18" spans="1:6" ht="15.5" x14ac:dyDescent="0.35">
      <c r="A18" s="74" t="s">
        <v>49</v>
      </c>
      <c r="B18" s="76">
        <v>13886</v>
      </c>
      <c r="C18" s="75">
        <v>14146</v>
      </c>
      <c r="D18" s="75">
        <v>13929</v>
      </c>
      <c r="E18" s="75">
        <v>13820</v>
      </c>
      <c r="F18" s="75">
        <v>13942</v>
      </c>
    </row>
    <row r="19" spans="1:6" ht="31" x14ac:dyDescent="0.35">
      <c r="A19" s="74" t="s">
        <v>50</v>
      </c>
      <c r="B19" s="76">
        <v>10284</v>
      </c>
      <c r="C19" s="75">
        <v>10640</v>
      </c>
      <c r="D19" s="75">
        <v>10351</v>
      </c>
      <c r="E19" s="75">
        <v>10377</v>
      </c>
      <c r="F19" s="75">
        <v>10681</v>
      </c>
    </row>
    <row r="20" spans="1:6" ht="31" x14ac:dyDescent="0.35">
      <c r="A20" s="74" t="s">
        <v>51</v>
      </c>
      <c r="B20" s="76">
        <v>7566</v>
      </c>
      <c r="C20" s="75">
        <v>7769</v>
      </c>
      <c r="D20" s="75">
        <v>7598</v>
      </c>
      <c r="E20" s="75">
        <v>7554</v>
      </c>
      <c r="F20" s="75">
        <v>7877</v>
      </c>
    </row>
    <row r="21" spans="1:6" ht="31" x14ac:dyDescent="0.35">
      <c r="A21" s="74" t="s">
        <v>52</v>
      </c>
      <c r="B21" s="76">
        <v>8860</v>
      </c>
      <c r="C21" s="75">
        <v>9055</v>
      </c>
      <c r="D21" s="75">
        <v>8930</v>
      </c>
      <c r="E21" s="75">
        <v>8974</v>
      </c>
      <c r="F21" s="75">
        <v>9355</v>
      </c>
    </row>
    <row r="22" spans="1:6" ht="31" x14ac:dyDescent="0.35">
      <c r="A22" s="74" t="s">
        <v>53</v>
      </c>
      <c r="B22" s="76">
        <v>10931</v>
      </c>
      <c r="C22" s="75">
        <v>11236</v>
      </c>
      <c r="D22" s="75">
        <v>11154</v>
      </c>
      <c r="E22" s="75">
        <v>11182</v>
      </c>
      <c r="F22" s="75">
        <v>11458</v>
      </c>
    </row>
    <row r="23" spans="1:6" ht="31" x14ac:dyDescent="0.35">
      <c r="A23" s="74" t="s">
        <v>54</v>
      </c>
      <c r="B23" s="76">
        <v>12062</v>
      </c>
      <c r="C23" s="75">
        <v>12253</v>
      </c>
      <c r="D23" s="75">
        <v>12032</v>
      </c>
      <c r="E23" s="75">
        <v>12143</v>
      </c>
      <c r="F23" s="75">
        <v>12469</v>
      </c>
    </row>
    <row r="24" spans="1:6" ht="31" x14ac:dyDescent="0.35">
      <c r="A24" s="74" t="s">
        <v>55</v>
      </c>
      <c r="B24" s="76">
        <v>11917</v>
      </c>
      <c r="C24" s="75">
        <v>12359</v>
      </c>
      <c r="D24" s="75">
        <v>11728</v>
      </c>
      <c r="E24" s="75">
        <v>12116</v>
      </c>
      <c r="F24" s="75">
        <v>12641</v>
      </c>
    </row>
    <row r="25" spans="1:6" ht="31" x14ac:dyDescent="0.35">
      <c r="A25" s="74" t="s">
        <v>56</v>
      </c>
      <c r="B25" s="76">
        <v>8943</v>
      </c>
      <c r="C25" s="75">
        <v>9343</v>
      </c>
      <c r="D25" s="75">
        <v>8756</v>
      </c>
      <c r="E25" s="75">
        <v>9075</v>
      </c>
      <c r="F25" s="75">
        <v>9350</v>
      </c>
    </row>
    <row r="26" spans="1:6" ht="15.5" x14ac:dyDescent="0.35">
      <c r="A26" s="74" t="s">
        <v>57</v>
      </c>
      <c r="B26" s="76">
        <v>10731</v>
      </c>
      <c r="C26" s="75">
        <v>11115</v>
      </c>
      <c r="D26" s="75">
        <v>10791</v>
      </c>
      <c r="E26" s="75">
        <v>10882</v>
      </c>
      <c r="F26" s="75">
        <v>11179</v>
      </c>
    </row>
    <row r="27" spans="1:6" ht="15.5" x14ac:dyDescent="0.35">
      <c r="A27" s="74" t="s">
        <v>58</v>
      </c>
      <c r="B27" s="76">
        <v>9488</v>
      </c>
      <c r="C27" s="75">
        <v>9604</v>
      </c>
      <c r="D27" s="75">
        <v>9335</v>
      </c>
      <c r="E27" s="75">
        <v>9378</v>
      </c>
      <c r="F27" s="75">
        <v>9696</v>
      </c>
    </row>
    <row r="28" spans="1:6" ht="15.5" x14ac:dyDescent="0.35">
      <c r="A28" s="74" t="s">
        <v>59</v>
      </c>
      <c r="B28" s="76">
        <v>10814</v>
      </c>
      <c r="C28" s="75">
        <v>11118</v>
      </c>
      <c r="D28" s="75">
        <v>11079</v>
      </c>
      <c r="E28" s="75">
        <v>11184</v>
      </c>
      <c r="F28" s="75">
        <v>11430</v>
      </c>
    </row>
    <row r="29" spans="1:6" ht="31" x14ac:dyDescent="0.35">
      <c r="A29" s="74" t="s">
        <v>60</v>
      </c>
      <c r="B29" s="76">
        <v>9262</v>
      </c>
      <c r="C29" s="75">
        <v>9436</v>
      </c>
      <c r="D29" s="75">
        <v>9331</v>
      </c>
      <c r="E29" s="75">
        <v>9381</v>
      </c>
      <c r="F29" s="75">
        <v>9708</v>
      </c>
    </row>
    <row r="30" spans="1:6" ht="15.5" x14ac:dyDescent="0.35">
      <c r="A30" s="74" t="s">
        <v>61</v>
      </c>
      <c r="B30" s="76">
        <v>9839</v>
      </c>
      <c r="C30" s="75">
        <v>10075</v>
      </c>
      <c r="D30" s="75">
        <v>10020</v>
      </c>
      <c r="E30" s="75">
        <v>10157</v>
      </c>
      <c r="F30" s="75">
        <v>10687</v>
      </c>
    </row>
    <row r="31" spans="1:6" ht="15.5" x14ac:dyDescent="0.35">
      <c r="A31" s="74" t="s">
        <v>62</v>
      </c>
      <c r="B31" s="76">
        <v>9051</v>
      </c>
      <c r="C31" s="75">
        <v>9235</v>
      </c>
      <c r="D31" s="75">
        <v>9168</v>
      </c>
      <c r="E31" s="75">
        <v>9153</v>
      </c>
      <c r="F31" s="75">
        <v>9358</v>
      </c>
    </row>
    <row r="32" spans="1:6" ht="15.5" x14ac:dyDescent="0.35">
      <c r="A32" s="74" t="s">
        <v>63</v>
      </c>
      <c r="B32" s="76">
        <v>8721</v>
      </c>
      <c r="C32" s="75">
        <v>8887</v>
      </c>
      <c r="D32" s="75">
        <v>8732</v>
      </c>
      <c r="E32" s="75">
        <v>8770</v>
      </c>
      <c r="F32" s="75">
        <v>8876</v>
      </c>
    </row>
    <row r="33" spans="1:6" ht="15.5" x14ac:dyDescent="0.35">
      <c r="A33" s="74" t="s">
        <v>64</v>
      </c>
      <c r="B33" s="76">
        <v>7980</v>
      </c>
      <c r="C33" s="75">
        <v>8308</v>
      </c>
      <c r="D33" s="75">
        <v>8032</v>
      </c>
      <c r="E33" s="75">
        <v>8140</v>
      </c>
      <c r="F33" s="75">
        <v>8398</v>
      </c>
    </row>
    <row r="34" spans="1:6" ht="15.5" x14ac:dyDescent="0.35">
      <c r="A34" s="74" t="s">
        <v>65</v>
      </c>
      <c r="B34" s="76">
        <v>7816</v>
      </c>
      <c r="C34" s="75">
        <v>8125</v>
      </c>
      <c r="D34" s="75">
        <v>8086</v>
      </c>
      <c r="E34" s="75">
        <v>7929</v>
      </c>
      <c r="F34" s="75">
        <v>8101</v>
      </c>
    </row>
    <row r="35" spans="1:6" ht="15.5" x14ac:dyDescent="0.35">
      <c r="A35" s="74" t="s">
        <v>66</v>
      </c>
      <c r="B35" s="76">
        <v>7159</v>
      </c>
      <c r="C35" s="75">
        <v>7336</v>
      </c>
      <c r="D35" s="75">
        <v>6954</v>
      </c>
      <c r="E35" s="75">
        <v>6955</v>
      </c>
      <c r="F35" s="75">
        <v>7146</v>
      </c>
    </row>
    <row r="36" spans="1:6" ht="15.5" x14ac:dyDescent="0.35">
      <c r="A36" s="74" t="s">
        <v>67</v>
      </c>
      <c r="B36" s="77">
        <v>11059</v>
      </c>
      <c r="C36" s="78">
        <v>11299</v>
      </c>
      <c r="D36" s="78">
        <v>11013</v>
      </c>
      <c r="E36" s="78">
        <v>11156</v>
      </c>
      <c r="F36" s="78">
        <v>11479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2084-14F7-406D-932F-586472F97104}">
  <dimension ref="A1:B6"/>
  <sheetViews>
    <sheetView workbookViewId="0">
      <selection sqref="A1:B6"/>
    </sheetView>
  </sheetViews>
  <sheetFormatPr defaultRowHeight="14.5" x14ac:dyDescent="0.35"/>
  <cols>
    <col min="2" max="2" width="14.453125" customWidth="1"/>
  </cols>
  <sheetData>
    <row r="1" spans="1:2" ht="30.5" thickBot="1" x14ac:dyDescent="0.4">
      <c r="A1" s="116" t="s">
        <v>0</v>
      </c>
      <c r="B1" s="117" t="s">
        <v>2</v>
      </c>
    </row>
    <row r="2" spans="1:2" ht="15.5" thickBot="1" x14ac:dyDescent="0.4">
      <c r="A2" s="118">
        <v>2018</v>
      </c>
      <c r="B2" s="119"/>
    </row>
    <row r="3" spans="1:2" ht="16" thickBot="1" x14ac:dyDescent="0.4">
      <c r="A3" s="120">
        <v>2019</v>
      </c>
      <c r="B3" s="121">
        <v>96</v>
      </c>
    </row>
    <row r="4" spans="1:2" ht="16" thickBot="1" x14ac:dyDescent="0.4">
      <c r="A4" s="120">
        <v>2020</v>
      </c>
      <c r="B4" s="121">
        <v>61</v>
      </c>
    </row>
    <row r="5" spans="1:2" ht="16" thickBot="1" x14ac:dyDescent="0.4">
      <c r="A5" s="120">
        <v>2021</v>
      </c>
      <c r="B5" s="121">
        <v>119</v>
      </c>
    </row>
    <row r="6" spans="1:2" ht="16" thickBot="1" x14ac:dyDescent="0.4">
      <c r="A6" s="120">
        <v>2022</v>
      </c>
      <c r="B6" s="121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C1AE-1C23-4F9E-AA24-0ED9987718FC}">
  <dimension ref="B1:P57"/>
  <sheetViews>
    <sheetView topLeftCell="B1" zoomScaleNormal="100" workbookViewId="0">
      <selection activeCell="F22" sqref="F22"/>
    </sheetView>
  </sheetViews>
  <sheetFormatPr defaultRowHeight="14.5" x14ac:dyDescent="0.35"/>
  <cols>
    <col min="2" max="2" width="19.1796875" customWidth="1"/>
    <col min="3" max="3" width="18.6328125" customWidth="1"/>
    <col min="4" max="4" width="15.54296875" customWidth="1"/>
    <col min="5" max="5" width="18.36328125" customWidth="1"/>
    <col min="6" max="6" width="17.81640625" customWidth="1"/>
    <col min="8" max="8" width="11.1796875" customWidth="1"/>
    <col min="10" max="10" width="12.08984375" bestFit="1" customWidth="1"/>
    <col min="11" max="11" width="9.90625" bestFit="1" customWidth="1"/>
    <col min="13" max="13" width="10.54296875" bestFit="1" customWidth="1"/>
    <col min="15" max="15" width="40.08984375" customWidth="1"/>
  </cols>
  <sheetData>
    <row r="1" spans="2:16" ht="15" thickBot="1" x14ac:dyDescent="0.4"/>
    <row r="2" spans="2:16" ht="15" thickBot="1" x14ac:dyDescent="0.4">
      <c r="C2" s="32" t="s">
        <v>11</v>
      </c>
      <c r="D2" s="32" t="s">
        <v>12</v>
      </c>
      <c r="E2" s="32" t="s">
        <v>11</v>
      </c>
      <c r="F2" s="32" t="s">
        <v>11</v>
      </c>
      <c r="J2" s="27"/>
      <c r="O2" s="36" t="s">
        <v>15</v>
      </c>
    </row>
    <row r="3" spans="2:16" ht="45.5" thickBot="1" x14ac:dyDescent="0.4">
      <c r="B3" s="33" t="s">
        <v>0</v>
      </c>
      <c r="C3" s="29" t="s">
        <v>10</v>
      </c>
      <c r="D3" s="30" t="s">
        <v>3</v>
      </c>
      <c r="E3" s="31" t="s">
        <v>5</v>
      </c>
      <c r="F3" s="29" t="s">
        <v>4</v>
      </c>
      <c r="O3" s="35" t="s">
        <v>17</v>
      </c>
      <c r="P3" s="34"/>
    </row>
    <row r="4" spans="2:16" ht="44" thickBot="1" x14ac:dyDescent="0.4">
      <c r="B4" s="33">
        <v>2019</v>
      </c>
      <c r="C4" s="26">
        <v>128755270</v>
      </c>
      <c r="D4" s="18">
        <v>7104420</v>
      </c>
      <c r="E4" s="21">
        <v>11299</v>
      </c>
      <c r="F4" s="25">
        <v>41021610</v>
      </c>
      <c r="O4" s="35" t="s">
        <v>16</v>
      </c>
    </row>
    <row r="5" spans="2:16" ht="16" thickBot="1" x14ac:dyDescent="0.4">
      <c r="B5" s="33">
        <v>2020</v>
      </c>
      <c r="C5" s="26">
        <v>128454180</v>
      </c>
      <c r="D5" s="18">
        <v>9767750</v>
      </c>
      <c r="E5" s="21">
        <v>11013</v>
      </c>
      <c r="F5" s="25">
        <v>39778680</v>
      </c>
      <c r="J5" s="27"/>
    </row>
    <row r="6" spans="2:16" ht="16" thickBot="1" x14ac:dyDescent="0.4">
      <c r="B6" s="33">
        <v>2021</v>
      </c>
      <c r="C6" s="26">
        <v>131050520</v>
      </c>
      <c r="D6" s="18">
        <v>9102050</v>
      </c>
      <c r="E6" s="21">
        <v>11156</v>
      </c>
      <c r="F6" s="25">
        <v>40780310</v>
      </c>
      <c r="O6" s="27" t="s">
        <v>19</v>
      </c>
    </row>
    <row r="7" spans="2:16" ht="16" thickBot="1" x14ac:dyDescent="0.4">
      <c r="B7" s="33">
        <v>2022</v>
      </c>
      <c r="C7" s="26">
        <v>135296710</v>
      </c>
      <c r="D7" s="18">
        <v>8425930</v>
      </c>
      <c r="E7" s="21">
        <v>11479</v>
      </c>
      <c r="F7" s="25">
        <v>42463780</v>
      </c>
    </row>
    <row r="10" spans="2:16" x14ac:dyDescent="0.35">
      <c r="B10" s="28" t="s">
        <v>7</v>
      </c>
      <c r="C10" s="8">
        <f>MAX(C4:C7)</f>
        <v>135296710</v>
      </c>
      <c r="D10" s="8">
        <f t="shared" ref="D10:F10" si="0">MAX(D4:D7)</f>
        <v>9767750</v>
      </c>
      <c r="E10" s="8">
        <f t="shared" si="0"/>
        <v>11479</v>
      </c>
      <c r="F10" s="8">
        <f t="shared" si="0"/>
        <v>42463780</v>
      </c>
    </row>
    <row r="11" spans="2:16" x14ac:dyDescent="0.35">
      <c r="B11" s="28" t="s">
        <v>6</v>
      </c>
      <c r="C11" s="8">
        <f>MIN(C4:C7)</f>
        <v>128454180</v>
      </c>
      <c r="D11" s="8">
        <f t="shared" ref="D11:F11" si="1">MIN(D4:D7)</f>
        <v>7104420</v>
      </c>
      <c r="E11" s="8">
        <f t="shared" si="1"/>
        <v>11013</v>
      </c>
      <c r="F11" s="8">
        <f t="shared" si="1"/>
        <v>39778680</v>
      </c>
    </row>
    <row r="13" spans="2:16" ht="15" thickBot="1" x14ac:dyDescent="0.4">
      <c r="B13" s="27" t="s">
        <v>28</v>
      </c>
      <c r="J13" s="27"/>
    </row>
    <row r="14" spans="2:16" ht="19" thickBot="1" x14ac:dyDescent="0.5">
      <c r="B14" s="37">
        <v>2019</v>
      </c>
      <c r="C14" s="38">
        <f>($C$10-C4)/($C$10-$C$11)</f>
        <v>0.95599727001562285</v>
      </c>
      <c r="D14" s="39">
        <f>(D4-$D$11)/($D$10-$D$11)</f>
        <v>0</v>
      </c>
      <c r="E14" s="39">
        <f>($E$10-E4)/($E$10-$E$11)</f>
        <v>0.38626609442060084</v>
      </c>
      <c r="F14" s="39">
        <f>($F$10-F4)/($F$10-$F$11)</f>
        <v>0.53710103906744633</v>
      </c>
      <c r="I14" s="59" t="s">
        <v>13</v>
      </c>
      <c r="L14" s="59" t="s">
        <v>14</v>
      </c>
    </row>
    <row r="15" spans="2:16" ht="15" thickBot="1" x14ac:dyDescent="0.4">
      <c r="B15" s="37">
        <v>2020</v>
      </c>
      <c r="C15" s="38">
        <f t="shared" ref="C15:C17" si="2">($C$10-C5)/($C$10-$C$11)</f>
        <v>1</v>
      </c>
      <c r="D15" s="39">
        <f t="shared" ref="D15:D17" si="3">(D5-$D$11)/($D$10-$D$11)</f>
        <v>1</v>
      </c>
      <c r="E15" s="39">
        <f t="shared" ref="E15:E17" si="4">($E$10-E5)/($E$10-$E$11)</f>
        <v>1</v>
      </c>
      <c r="F15" s="39">
        <f t="shared" ref="F15:F17" si="5">($F$10-F5)/($F$10-$F$11)</f>
        <v>1</v>
      </c>
    </row>
    <row r="16" spans="2:16" ht="15" thickBot="1" x14ac:dyDescent="0.4">
      <c r="B16" s="37">
        <v>2021</v>
      </c>
      <c r="C16" s="38">
        <f t="shared" si="2"/>
        <v>0.62055847763911887</v>
      </c>
      <c r="D16" s="39">
        <f t="shared" si="3"/>
        <v>0.75004974974937388</v>
      </c>
      <c r="E16" s="39">
        <f t="shared" si="4"/>
        <v>0.69313304721030045</v>
      </c>
      <c r="F16" s="39">
        <f t="shared" si="5"/>
        <v>0.62696733827417972</v>
      </c>
    </row>
    <row r="17" spans="2:10" ht="15" thickBot="1" x14ac:dyDescent="0.4">
      <c r="B17" s="37">
        <v>2022</v>
      </c>
      <c r="C17" s="38">
        <f t="shared" si="2"/>
        <v>0</v>
      </c>
      <c r="D17" s="39">
        <f t="shared" si="3"/>
        <v>0.49618710411402267</v>
      </c>
      <c r="E17" s="39">
        <f t="shared" si="4"/>
        <v>0</v>
      </c>
      <c r="F17" s="39">
        <f t="shared" si="5"/>
        <v>0</v>
      </c>
    </row>
    <row r="19" spans="2:10" x14ac:dyDescent="0.35">
      <c r="B19" s="33" t="s">
        <v>7</v>
      </c>
      <c r="C19" s="8">
        <v>1</v>
      </c>
      <c r="D19" s="8"/>
      <c r="E19" s="8"/>
      <c r="F19" s="8"/>
    </row>
    <row r="20" spans="2:10" x14ac:dyDescent="0.35">
      <c r="B20" s="33" t="s">
        <v>6</v>
      </c>
      <c r="C20" s="8">
        <v>0</v>
      </c>
      <c r="D20" s="8"/>
      <c r="E20" s="8"/>
      <c r="F20" s="8"/>
    </row>
    <row r="22" spans="2:10" ht="15" thickBot="1" x14ac:dyDescent="0.4">
      <c r="B22" s="27" t="s">
        <v>18</v>
      </c>
    </row>
    <row r="23" spans="2:10" ht="19" thickBot="1" x14ac:dyDescent="0.5">
      <c r="B23" s="37">
        <v>2019</v>
      </c>
      <c r="C23" s="38">
        <f>(1-C14)</f>
        <v>4.4002729984377154E-2</v>
      </c>
      <c r="D23" s="39">
        <f>(1-D14)</f>
        <v>1</v>
      </c>
      <c r="E23" s="38">
        <f>(1-E14)</f>
        <v>0.61373390557939911</v>
      </c>
      <c r="F23" s="39">
        <f>(1-F14)</f>
        <v>0.46289896093255367</v>
      </c>
      <c r="I23" s="59" t="s">
        <v>18</v>
      </c>
      <c r="J23" s="40"/>
    </row>
    <row r="24" spans="2:10" ht="15" thickBot="1" x14ac:dyDescent="0.4">
      <c r="B24" s="37">
        <v>2020</v>
      </c>
      <c r="C24" s="38">
        <f t="shared" ref="C24:F24" si="6">(1-C15)</f>
        <v>0</v>
      </c>
      <c r="D24" s="39">
        <f t="shared" si="6"/>
        <v>0</v>
      </c>
      <c r="E24" s="38">
        <f t="shared" si="6"/>
        <v>0</v>
      </c>
      <c r="F24" s="39">
        <f t="shared" si="6"/>
        <v>0</v>
      </c>
    </row>
    <row r="25" spans="2:10" ht="15" thickBot="1" x14ac:dyDescent="0.4">
      <c r="B25" s="37">
        <v>2021</v>
      </c>
      <c r="C25" s="38">
        <f t="shared" ref="C25:F25" si="7">(1-C16)</f>
        <v>0.37944152236088113</v>
      </c>
      <c r="D25" s="39">
        <f>(1-D16)</f>
        <v>0.24995025025062612</v>
      </c>
      <c r="E25" s="38">
        <f t="shared" si="7"/>
        <v>0.30686695278969955</v>
      </c>
      <c r="F25" s="39">
        <f t="shared" si="7"/>
        <v>0.37303266172582028</v>
      </c>
    </row>
    <row r="26" spans="2:10" ht="15" thickBot="1" x14ac:dyDescent="0.4">
      <c r="B26" s="37">
        <v>2022</v>
      </c>
      <c r="C26" s="38">
        <f t="shared" ref="C26:F26" si="8">(1-C17)</f>
        <v>1</v>
      </c>
      <c r="D26" s="39">
        <f t="shared" si="8"/>
        <v>0.50381289588597733</v>
      </c>
      <c r="E26" s="38">
        <f t="shared" si="8"/>
        <v>1</v>
      </c>
      <c r="F26" s="39">
        <f t="shared" si="8"/>
        <v>1</v>
      </c>
    </row>
    <row r="28" spans="2:10" x14ac:dyDescent="0.35">
      <c r="B28" s="33" t="s">
        <v>7</v>
      </c>
      <c r="C28" s="8">
        <v>1</v>
      </c>
      <c r="D28" t="s">
        <v>20</v>
      </c>
      <c r="E28">
        <v>0.5</v>
      </c>
    </row>
    <row r="29" spans="2:10" x14ac:dyDescent="0.35">
      <c r="B29" s="33" t="s">
        <v>6</v>
      </c>
      <c r="C29" s="8">
        <v>0</v>
      </c>
    </row>
    <row r="31" spans="2:10" ht="19" thickBot="1" x14ac:dyDescent="0.5">
      <c r="B31" s="139"/>
      <c r="C31" s="139"/>
      <c r="D31" s="139"/>
      <c r="E31" s="139"/>
      <c r="F31" s="139"/>
      <c r="J31" s="59" t="s">
        <v>29</v>
      </c>
    </row>
    <row r="32" spans="2:10" ht="45.5" thickBot="1" x14ac:dyDescent="0.65">
      <c r="B32" s="37" t="s">
        <v>0</v>
      </c>
      <c r="C32" s="41" t="s">
        <v>10</v>
      </c>
      <c r="D32" s="42" t="s">
        <v>3</v>
      </c>
      <c r="E32" s="41" t="s">
        <v>5</v>
      </c>
      <c r="F32" s="41" t="s">
        <v>4</v>
      </c>
      <c r="J32" s="58"/>
    </row>
    <row r="33" spans="2:13" ht="15" thickBot="1" x14ac:dyDescent="0.4">
      <c r="B33" s="37">
        <v>2019</v>
      </c>
      <c r="C33" s="39">
        <f>(C29+($E$28*$C$28))/(C23+($E$28*$C$28))</f>
        <v>0.91911303462458571</v>
      </c>
      <c r="D33" s="39">
        <f t="shared" ref="D33" si="9">(D29+($E$28*$C$28))/(D23+($E$28*$C$28))</f>
        <v>0.33333333333333331</v>
      </c>
      <c r="E33" s="39">
        <f t="shared" ref="E33:F35" si="10">(E29+($E$28*$C$28))/(E23+($E$28*$C$28))</f>
        <v>0.44894026974951834</v>
      </c>
      <c r="F33" s="39">
        <f t="shared" si="10"/>
        <v>0.51926528149511897</v>
      </c>
    </row>
    <row r="34" spans="2:13" ht="15" thickBot="1" x14ac:dyDescent="0.4">
      <c r="B34" s="37">
        <v>2020</v>
      </c>
      <c r="C34" s="39">
        <f t="shared" ref="C34:D34" si="11">(C30+($E$28*$C$28))/(C24+($E$28*$C$28))</f>
        <v>1</v>
      </c>
      <c r="D34" s="39">
        <f t="shared" si="11"/>
        <v>1</v>
      </c>
      <c r="E34" s="39">
        <f t="shared" si="10"/>
        <v>1</v>
      </c>
      <c r="F34" s="39">
        <f t="shared" si="10"/>
        <v>1</v>
      </c>
    </row>
    <row r="35" spans="2:13" ht="15" thickBot="1" x14ac:dyDescent="0.4">
      <c r="B35" s="37">
        <v>2021</v>
      </c>
      <c r="C35" s="39">
        <f t="shared" ref="C35:D35" si="12">(C31+($E$28*$C$28))/(C25+($E$28*$C$28))</f>
        <v>0.56854263448664377</v>
      </c>
      <c r="D35" s="39">
        <f t="shared" si="12"/>
        <v>0.66671089159968255</v>
      </c>
      <c r="E35" s="39">
        <f t="shared" si="10"/>
        <v>0.61968085106382975</v>
      </c>
      <c r="F35" s="39">
        <f t="shared" si="10"/>
        <v>0.57271625899035061</v>
      </c>
    </row>
    <row r="36" spans="2:13" ht="15" thickBot="1" x14ac:dyDescent="0.4">
      <c r="B36" s="37">
        <v>2022</v>
      </c>
      <c r="C36" s="39">
        <f t="shared" ref="C36:D36" si="13">(C33+($E$28*$C$28))/(C26+($E$28*$C$28))</f>
        <v>0.94607535641639051</v>
      </c>
      <c r="D36" s="39">
        <f t="shared" si="13"/>
        <v>0.83016798922255652</v>
      </c>
      <c r="E36" s="39">
        <f>(E33+($E$28*$C$28))/(E26+($E$28*$C$28))</f>
        <v>0.63262684649967893</v>
      </c>
      <c r="F36" s="39">
        <f>(F33+($E$28*$C$28))/(F26+($E$28*$C$28))</f>
        <v>0.67951018766341276</v>
      </c>
    </row>
    <row r="40" spans="2:13" ht="15" x14ac:dyDescent="0.35">
      <c r="B40" s="13"/>
      <c r="C40" s="13"/>
    </row>
    <row r="46" spans="2:13" ht="18.5" x14ac:dyDescent="0.45">
      <c r="B46" s="33"/>
      <c r="G46" s="60" t="s">
        <v>30</v>
      </c>
    </row>
    <row r="47" spans="2:13" ht="15" thickBot="1" x14ac:dyDescent="0.4">
      <c r="B47" s="33"/>
    </row>
    <row r="48" spans="2:13" ht="45.5" thickBot="1" x14ac:dyDescent="0.4">
      <c r="B48" s="37" t="s">
        <v>0</v>
      </c>
      <c r="C48" s="41" t="s">
        <v>10</v>
      </c>
      <c r="D48" s="42" t="s">
        <v>3</v>
      </c>
      <c r="E48" s="41" t="s">
        <v>5</v>
      </c>
      <c r="F48" s="41" t="s">
        <v>4</v>
      </c>
      <c r="J48" s="32" t="s">
        <v>11</v>
      </c>
      <c r="K48" s="32" t="s">
        <v>12</v>
      </c>
      <c r="L48" s="32" t="s">
        <v>11</v>
      </c>
      <c r="M48" s="32" t="s">
        <v>11</v>
      </c>
    </row>
    <row r="49" spans="2:13" ht="75.5" thickBot="1" x14ac:dyDescent="0.4">
      <c r="B49" s="37">
        <v>2019</v>
      </c>
      <c r="C49" s="44">
        <f>1/4*SUM(C33:C36)</f>
        <v>0.85843275638190508</v>
      </c>
      <c r="D49" s="44">
        <f t="shared" ref="D49:F49" si="14">1/4*SUM(D33:D36)</f>
        <v>0.70755305353889308</v>
      </c>
      <c r="E49" s="44">
        <f t="shared" si="14"/>
        <v>0.67531199182825674</v>
      </c>
      <c r="F49" s="44">
        <f t="shared" si="14"/>
        <v>0.69287293203722067</v>
      </c>
      <c r="I49" s="33" t="s">
        <v>0</v>
      </c>
      <c r="J49" s="29" t="s">
        <v>10</v>
      </c>
      <c r="K49" s="30" t="s">
        <v>3</v>
      </c>
      <c r="L49" s="31" t="s">
        <v>5</v>
      </c>
      <c r="M49" s="29" t="s">
        <v>4</v>
      </c>
    </row>
    <row r="50" spans="2:13" ht="16" thickBot="1" x14ac:dyDescent="0.4">
      <c r="B50" s="37">
        <v>2020</v>
      </c>
      <c r="C50" s="44">
        <f t="shared" ref="C50:F50" si="15">1/4*SUM(C34:C37)</f>
        <v>0.62865449772575854</v>
      </c>
      <c r="D50" s="44">
        <f t="shared" si="15"/>
        <v>0.62421972020555982</v>
      </c>
      <c r="E50" s="44">
        <f t="shared" si="15"/>
        <v>0.5630769243908772</v>
      </c>
      <c r="F50" s="44">
        <f t="shared" si="15"/>
        <v>0.5630566116634409</v>
      </c>
      <c r="I50" s="33">
        <v>2019</v>
      </c>
      <c r="J50" s="26">
        <v>128755270</v>
      </c>
      <c r="K50" s="18">
        <v>7104420</v>
      </c>
      <c r="L50" s="21">
        <v>11299</v>
      </c>
      <c r="M50" s="25">
        <v>41021610</v>
      </c>
    </row>
    <row r="51" spans="2:13" ht="16" thickBot="1" x14ac:dyDescent="0.4">
      <c r="B51" s="37">
        <v>2021</v>
      </c>
      <c r="C51" s="44">
        <f t="shared" ref="C51:F51" si="16">1/4*SUM(C35:C38)</f>
        <v>0.37865449772575854</v>
      </c>
      <c r="D51" s="44">
        <f t="shared" si="16"/>
        <v>0.37421972020555977</v>
      </c>
      <c r="E51" s="44">
        <f t="shared" si="16"/>
        <v>0.3130769243908772</v>
      </c>
      <c r="F51" s="44">
        <f t="shared" si="16"/>
        <v>0.31305661166344084</v>
      </c>
      <c r="I51" s="33">
        <v>2020</v>
      </c>
      <c r="J51" s="26">
        <v>128454180</v>
      </c>
      <c r="K51" s="18">
        <v>9767750</v>
      </c>
      <c r="L51" s="21">
        <v>11013</v>
      </c>
      <c r="M51" s="25">
        <v>39778680</v>
      </c>
    </row>
    <row r="52" spans="2:13" ht="16" thickBot="1" x14ac:dyDescent="0.4">
      <c r="B52" s="37">
        <v>2022</v>
      </c>
      <c r="C52" s="44">
        <f t="shared" ref="C52:F52" si="17">1/4*SUM(C36:C39)</f>
        <v>0.23651883910409763</v>
      </c>
      <c r="D52" s="44">
        <f t="shared" si="17"/>
        <v>0.20754199730563913</v>
      </c>
      <c r="E52" s="44">
        <f t="shared" si="17"/>
        <v>0.15815671162491973</v>
      </c>
      <c r="F52" s="44">
        <f t="shared" si="17"/>
        <v>0.16987754691585319</v>
      </c>
      <c r="I52" s="33">
        <v>2021</v>
      </c>
      <c r="J52" s="26">
        <v>131050520</v>
      </c>
      <c r="K52" s="18">
        <v>9102050</v>
      </c>
      <c r="L52" s="21">
        <v>11156</v>
      </c>
      <c r="M52" s="25">
        <v>40780310</v>
      </c>
    </row>
    <row r="53" spans="2:13" ht="16" thickBot="1" x14ac:dyDescent="0.4">
      <c r="B53" s="33"/>
      <c r="I53" s="33">
        <v>2022</v>
      </c>
      <c r="J53" s="26">
        <v>135296710</v>
      </c>
      <c r="K53" s="18">
        <v>8425930</v>
      </c>
      <c r="L53" s="21">
        <v>11479</v>
      </c>
      <c r="M53" s="25">
        <v>42463780</v>
      </c>
    </row>
    <row r="54" spans="2:13" ht="26.5" thickBot="1" x14ac:dyDescent="0.4">
      <c r="B54" s="54" t="s">
        <v>23</v>
      </c>
      <c r="C54" s="54">
        <f>AVERAGE(C49:C52)</f>
        <v>0.5255651477343799</v>
      </c>
      <c r="D54" s="54">
        <f t="shared" ref="D54:F54" si="18">AVERAGE(D49:D52)</f>
        <v>0.47838362281391295</v>
      </c>
      <c r="E54" s="54">
        <f t="shared" si="18"/>
        <v>0.42740563805873277</v>
      </c>
      <c r="F54" s="54">
        <f t="shared" si="18"/>
        <v>0.43471592556998884</v>
      </c>
      <c r="H54" s="55" t="s">
        <v>27</v>
      </c>
    </row>
    <row r="55" spans="2:13" x14ac:dyDescent="0.35">
      <c r="B55" s="33"/>
    </row>
    <row r="56" spans="2:13" ht="15" thickBot="1" x14ac:dyDescent="0.4"/>
    <row r="57" spans="2:13" ht="26.5" thickBot="1" x14ac:dyDescent="0.65">
      <c r="B57" s="56" t="s">
        <v>24</v>
      </c>
      <c r="C57" s="57">
        <f>RANK(C54,$C$54:$F$54)</f>
        <v>1</v>
      </c>
      <c r="D57" s="57">
        <f t="shared" ref="D57" si="19">RANK(D54,$C$54:$F$54)</f>
        <v>2</v>
      </c>
      <c r="E57" s="57">
        <f>RANK(E54,$C$54:$F$54)</f>
        <v>4</v>
      </c>
      <c r="F57" s="57">
        <f>RANK(F54,$C$54:$F$54)</f>
        <v>3</v>
      </c>
    </row>
  </sheetData>
  <mergeCells count="1">
    <mergeCell ref="B31:F3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A769-3616-4B72-8699-FC3786DD1EA8}">
  <dimension ref="B1:S48"/>
  <sheetViews>
    <sheetView zoomScale="70" zoomScaleNormal="70" workbookViewId="0">
      <selection activeCell="E17" sqref="E17"/>
    </sheetView>
  </sheetViews>
  <sheetFormatPr defaultRowHeight="14.5" x14ac:dyDescent="0.35"/>
  <cols>
    <col min="2" max="2" width="19.1796875" customWidth="1"/>
    <col min="3" max="3" width="18.6328125" customWidth="1"/>
    <col min="4" max="4" width="15.54296875" customWidth="1"/>
    <col min="5" max="5" width="18.36328125" customWidth="1"/>
    <col min="6" max="6" width="17.81640625" customWidth="1"/>
    <col min="8" max="9" width="11.08984375" bestFit="1" customWidth="1"/>
    <col min="15" max="15" width="10" customWidth="1"/>
    <col min="19" max="19" width="37.1796875" customWidth="1"/>
  </cols>
  <sheetData>
    <row r="1" spans="2:19" ht="15" thickBot="1" x14ac:dyDescent="0.4"/>
    <row r="2" spans="2:19" ht="15" thickBot="1" x14ac:dyDescent="0.4">
      <c r="C2" s="32" t="s">
        <v>11</v>
      </c>
      <c r="D2" s="32" t="s">
        <v>12</v>
      </c>
      <c r="E2" s="32" t="s">
        <v>11</v>
      </c>
      <c r="F2" s="32" t="s">
        <v>11</v>
      </c>
      <c r="J2" s="27" t="s">
        <v>13</v>
      </c>
      <c r="O2" s="36" t="s">
        <v>15</v>
      </c>
    </row>
    <row r="3" spans="2:19" ht="203.5" thickBot="1" x14ac:dyDescent="0.4">
      <c r="B3" s="33" t="s">
        <v>0</v>
      </c>
      <c r="C3" s="29" t="s">
        <v>10</v>
      </c>
      <c r="D3" s="30" t="s">
        <v>3</v>
      </c>
      <c r="E3" s="31" t="s">
        <v>5</v>
      </c>
      <c r="F3" s="29" t="s">
        <v>4</v>
      </c>
      <c r="O3" s="35" t="s">
        <v>17</v>
      </c>
      <c r="P3" s="34"/>
    </row>
    <row r="4" spans="2:19" ht="218" thickBot="1" x14ac:dyDescent="0.4">
      <c r="B4" s="33">
        <v>2019</v>
      </c>
      <c r="C4" s="26">
        <v>128755270</v>
      </c>
      <c r="D4" s="18">
        <v>7104420</v>
      </c>
      <c r="E4" s="21">
        <v>11299</v>
      </c>
      <c r="F4" s="25">
        <v>41021610</v>
      </c>
      <c r="O4" s="35" t="s">
        <v>16</v>
      </c>
    </row>
    <row r="5" spans="2:19" ht="16" thickBot="1" x14ac:dyDescent="0.4">
      <c r="B5" s="33">
        <v>2020</v>
      </c>
      <c r="C5" s="26">
        <v>128454180</v>
      </c>
      <c r="D5" s="18">
        <v>9767750</v>
      </c>
      <c r="E5" s="21">
        <v>11013</v>
      </c>
      <c r="F5" s="25">
        <v>39778680</v>
      </c>
      <c r="J5" s="27" t="s">
        <v>14</v>
      </c>
    </row>
    <row r="6" spans="2:19" ht="16" thickBot="1" x14ac:dyDescent="0.4">
      <c r="B6" s="33">
        <v>2021</v>
      </c>
      <c r="C6" s="26">
        <v>131050520</v>
      </c>
      <c r="D6" s="18">
        <v>9102050</v>
      </c>
      <c r="E6" s="21">
        <v>11156</v>
      </c>
      <c r="F6" s="25">
        <v>40780310</v>
      </c>
      <c r="O6" s="27" t="s">
        <v>19</v>
      </c>
    </row>
    <row r="7" spans="2:19" ht="16" thickBot="1" x14ac:dyDescent="0.4">
      <c r="B7" s="33">
        <v>2022</v>
      </c>
      <c r="C7" s="26">
        <v>135296710</v>
      </c>
      <c r="D7" s="18">
        <v>8425930</v>
      </c>
      <c r="E7" s="21">
        <v>11479</v>
      </c>
      <c r="F7" s="25">
        <v>42463780</v>
      </c>
    </row>
    <row r="8" spans="2:19" ht="16" thickBot="1" x14ac:dyDescent="0.4">
      <c r="B8" s="33"/>
      <c r="C8" s="49"/>
      <c r="D8" s="49"/>
      <c r="E8" s="50"/>
      <c r="F8" s="8"/>
    </row>
    <row r="9" spans="2:19" ht="15" thickBot="1" x14ac:dyDescent="0.4">
      <c r="B9" s="37"/>
      <c r="C9" s="37">
        <v>2019</v>
      </c>
      <c r="D9" s="37">
        <v>2020</v>
      </c>
      <c r="E9" s="37">
        <v>2021</v>
      </c>
      <c r="F9" s="37">
        <v>2022</v>
      </c>
      <c r="H9" s="33" t="s">
        <v>25</v>
      </c>
      <c r="I9" s="33" t="s">
        <v>26</v>
      </c>
    </row>
    <row r="10" spans="2:19" ht="16" thickBot="1" x14ac:dyDescent="0.4">
      <c r="B10" s="41" t="s">
        <v>10</v>
      </c>
      <c r="C10" s="26">
        <v>128755270</v>
      </c>
      <c r="D10" s="51">
        <v>128454180</v>
      </c>
      <c r="E10" s="51">
        <v>131050520</v>
      </c>
      <c r="F10" s="51">
        <v>135296710</v>
      </c>
      <c r="H10" s="12">
        <f>MAX(C10:F10)</f>
        <v>135296710</v>
      </c>
      <c r="I10" s="8">
        <f>MIN(C10:F10)</f>
        <v>128454180</v>
      </c>
      <c r="J10" s="8"/>
      <c r="K10" s="8"/>
      <c r="L10" s="8"/>
    </row>
    <row r="11" spans="2:19" ht="30.5" thickBot="1" x14ac:dyDescent="0.4">
      <c r="B11" s="42" t="s">
        <v>3</v>
      </c>
      <c r="C11" s="52">
        <v>7104420</v>
      </c>
      <c r="D11" s="52">
        <v>9767750</v>
      </c>
      <c r="E11" s="52">
        <v>9102050</v>
      </c>
      <c r="F11" s="52">
        <v>8425930</v>
      </c>
      <c r="H11" s="12">
        <f t="shared" ref="H11:H13" si="0">MAX(C11:F11)</f>
        <v>9767750</v>
      </c>
      <c r="I11" s="8">
        <f t="shared" ref="I11:I13" si="1">MIN(C11:F11)</f>
        <v>7104420</v>
      </c>
      <c r="J11" s="8"/>
      <c r="K11" s="8"/>
      <c r="L11" s="8"/>
    </row>
    <row r="12" spans="2:19" ht="45.5" thickBot="1" x14ac:dyDescent="0.4">
      <c r="B12" s="41" t="s">
        <v>5</v>
      </c>
      <c r="C12" s="53">
        <v>11299</v>
      </c>
      <c r="D12" s="53">
        <v>11013</v>
      </c>
      <c r="E12" s="53">
        <v>11156</v>
      </c>
      <c r="F12" s="53">
        <v>11479</v>
      </c>
      <c r="H12" s="12">
        <f t="shared" si="0"/>
        <v>11479</v>
      </c>
      <c r="I12" s="8">
        <f t="shared" si="1"/>
        <v>11013</v>
      </c>
    </row>
    <row r="13" spans="2:19" ht="15.5" thickBot="1" x14ac:dyDescent="0.4">
      <c r="B13" s="41" t="s">
        <v>4</v>
      </c>
      <c r="C13" s="53">
        <v>41021610</v>
      </c>
      <c r="D13" s="53">
        <v>39778680</v>
      </c>
      <c r="E13" s="53">
        <v>40780310</v>
      </c>
      <c r="F13" s="53">
        <v>42463780</v>
      </c>
      <c r="H13" s="12">
        <f t="shared" si="0"/>
        <v>42463780</v>
      </c>
      <c r="I13" s="8">
        <f t="shared" si="1"/>
        <v>39778680</v>
      </c>
    </row>
    <row r="14" spans="2:19" ht="15" thickBot="1" x14ac:dyDescent="0.4"/>
    <row r="15" spans="2:19" ht="15" thickBot="1" x14ac:dyDescent="0.4">
      <c r="B15" s="37"/>
      <c r="C15" s="37">
        <v>2019</v>
      </c>
      <c r="D15" s="37">
        <v>2020</v>
      </c>
      <c r="E15" s="37">
        <v>2021</v>
      </c>
      <c r="F15" s="37">
        <v>2022</v>
      </c>
      <c r="J15" s="27"/>
    </row>
    <row r="16" spans="2:19" ht="15.5" thickBot="1" x14ac:dyDescent="0.4">
      <c r="B16" s="41" t="s">
        <v>10</v>
      </c>
      <c r="C16" s="38">
        <f>($H$10-C10)/($H$10-$I$10)</f>
        <v>0.95599727001562285</v>
      </c>
      <c r="D16" s="38">
        <f t="shared" ref="D16:F16" si="2">($H$10-D10)/($H$10-$I$10)</f>
        <v>1</v>
      </c>
      <c r="E16" s="38">
        <f t="shared" si="2"/>
        <v>0.62055847763911887</v>
      </c>
      <c r="F16" s="38">
        <f t="shared" si="2"/>
        <v>0</v>
      </c>
      <c r="N16" s="27" t="s">
        <v>13</v>
      </c>
      <c r="S16" s="36" t="s">
        <v>15</v>
      </c>
    </row>
    <row r="17" spans="2:19" ht="43.75" customHeight="1" thickBot="1" x14ac:dyDescent="0.4">
      <c r="B17" s="42" t="s">
        <v>3</v>
      </c>
      <c r="C17" s="38">
        <f t="shared" ref="C17:F19" si="3">($H$10-C11)/($H$10-$I$10)</f>
        <v>18.734633242382568</v>
      </c>
      <c r="D17" s="38">
        <f t="shared" si="3"/>
        <v>18.345401481615717</v>
      </c>
      <c r="E17" s="38">
        <f t="shared" si="3"/>
        <v>18.442690057624883</v>
      </c>
      <c r="F17" s="38">
        <f t="shared" si="3"/>
        <v>18.541501462178463</v>
      </c>
      <c r="S17" s="35" t="s">
        <v>17</v>
      </c>
    </row>
    <row r="18" spans="2:19" ht="47.4" customHeight="1" thickBot="1" x14ac:dyDescent="0.4">
      <c r="B18" s="41" t="s">
        <v>5</v>
      </c>
      <c r="C18" s="38">
        <f t="shared" si="3"/>
        <v>19.771255807427956</v>
      </c>
      <c r="D18" s="38">
        <f t="shared" si="3"/>
        <v>19.7712976048333</v>
      </c>
      <c r="E18" s="38">
        <f t="shared" si="3"/>
        <v>19.771276706130628</v>
      </c>
      <c r="F18" s="38">
        <f t="shared" si="3"/>
        <v>19.771229501368644</v>
      </c>
      <c r="S18" s="35" t="s">
        <v>16</v>
      </c>
    </row>
    <row r="19" spans="2:19" ht="15.5" thickBot="1" x14ac:dyDescent="0.4">
      <c r="B19" s="41" t="s">
        <v>4</v>
      </c>
      <c r="C19" s="38">
        <f t="shared" si="3"/>
        <v>13.777813177289687</v>
      </c>
      <c r="D19" s="38">
        <f t="shared" si="3"/>
        <v>13.959460901157906</v>
      </c>
      <c r="E19" s="38">
        <f t="shared" si="3"/>
        <v>13.813077911240432</v>
      </c>
      <c r="F19" s="38">
        <f t="shared" si="3"/>
        <v>13.567047568662469</v>
      </c>
      <c r="N19" s="27" t="s">
        <v>14</v>
      </c>
    </row>
    <row r="20" spans="2:19" x14ac:dyDescent="0.35">
      <c r="S20" s="27" t="s">
        <v>19</v>
      </c>
    </row>
    <row r="21" spans="2:19" x14ac:dyDescent="0.35">
      <c r="B21" s="33" t="s">
        <v>7</v>
      </c>
      <c r="C21" s="8">
        <v>1</v>
      </c>
      <c r="D21" s="8"/>
      <c r="E21" s="8"/>
      <c r="F21" s="8"/>
    </row>
    <row r="22" spans="2:19" x14ac:dyDescent="0.35">
      <c r="B22" s="33" t="s">
        <v>6</v>
      </c>
      <c r="C22" s="8">
        <v>0</v>
      </c>
      <c r="D22" s="8"/>
      <c r="E22" s="8"/>
      <c r="F22" s="8"/>
    </row>
    <row r="24" spans="2:19" ht="15" thickBot="1" x14ac:dyDescent="0.4">
      <c r="B24" s="27" t="s">
        <v>18</v>
      </c>
    </row>
    <row r="25" spans="2:19" ht="16" thickBot="1" x14ac:dyDescent="0.4">
      <c r="B25" s="37">
        <v>2019</v>
      </c>
      <c r="C25" s="38">
        <f>(1-C16)</f>
        <v>4.4002729984377154E-2</v>
      </c>
      <c r="D25" s="39">
        <f>(1-D16)</f>
        <v>0</v>
      </c>
      <c r="E25" s="38">
        <f>(1-E16)</f>
        <v>0.37944152236088113</v>
      </c>
      <c r="F25" s="39">
        <f>(1-F16)</f>
        <v>1</v>
      </c>
      <c r="J25" s="40" t="s">
        <v>21</v>
      </c>
    </row>
    <row r="26" spans="2:19" ht="15" thickBot="1" x14ac:dyDescent="0.4">
      <c r="B26" s="37">
        <v>2020</v>
      </c>
      <c r="C26" s="38">
        <f t="shared" ref="C26:F28" si="4">(1-C17)</f>
        <v>-17.734633242382568</v>
      </c>
      <c r="D26" s="39">
        <f t="shared" si="4"/>
        <v>-17.345401481615717</v>
      </c>
      <c r="E26" s="38">
        <f t="shared" si="4"/>
        <v>-17.442690057624883</v>
      </c>
      <c r="F26" s="39">
        <f t="shared" si="4"/>
        <v>-17.541501462178463</v>
      </c>
    </row>
    <row r="27" spans="2:19" ht="15" thickBot="1" x14ac:dyDescent="0.4">
      <c r="B27" s="37">
        <v>2021</v>
      </c>
      <c r="C27" s="38">
        <f t="shared" si="4"/>
        <v>-18.771255807427956</v>
      </c>
      <c r="D27" s="39">
        <f>(1-D18)</f>
        <v>-18.7712976048333</v>
      </c>
      <c r="E27" s="38">
        <f t="shared" si="4"/>
        <v>-18.771276706130628</v>
      </c>
      <c r="F27" s="39">
        <f t="shared" si="4"/>
        <v>-18.771229501368644</v>
      </c>
    </row>
    <row r="28" spans="2:19" ht="15" thickBot="1" x14ac:dyDescent="0.4">
      <c r="B28" s="37">
        <v>2022</v>
      </c>
      <c r="C28" s="38">
        <f t="shared" si="4"/>
        <v>-12.777813177289687</v>
      </c>
      <c r="D28" s="39">
        <f t="shared" si="4"/>
        <v>-12.959460901157906</v>
      </c>
      <c r="E28" s="38">
        <f t="shared" si="4"/>
        <v>-12.813077911240432</v>
      </c>
      <c r="F28" s="39">
        <f t="shared" si="4"/>
        <v>-12.567047568662469</v>
      </c>
    </row>
    <row r="30" spans="2:19" x14ac:dyDescent="0.35">
      <c r="B30" s="33" t="s">
        <v>7</v>
      </c>
      <c r="C30" s="8">
        <v>1</v>
      </c>
      <c r="D30" t="s">
        <v>20</v>
      </c>
      <c r="E30">
        <v>0.5</v>
      </c>
    </row>
    <row r="31" spans="2:19" x14ac:dyDescent="0.35">
      <c r="B31" s="33" t="s">
        <v>6</v>
      </c>
      <c r="C31" s="8">
        <v>0</v>
      </c>
    </row>
    <row r="33" spans="2:6" ht="16" thickBot="1" x14ac:dyDescent="0.4">
      <c r="B33" s="139" t="s">
        <v>21</v>
      </c>
      <c r="C33" s="139"/>
      <c r="D33" s="139"/>
      <c r="E33" s="139"/>
      <c r="F33" s="139"/>
    </row>
    <row r="34" spans="2:6" ht="45.5" thickBot="1" x14ac:dyDescent="0.4">
      <c r="B34" s="37" t="s">
        <v>0</v>
      </c>
      <c r="C34" s="41" t="s">
        <v>10</v>
      </c>
      <c r="D34" s="42" t="s">
        <v>3</v>
      </c>
      <c r="E34" s="41" t="s">
        <v>5</v>
      </c>
      <c r="F34" s="41" t="s">
        <v>4</v>
      </c>
    </row>
    <row r="35" spans="2:6" ht="15" thickBot="1" x14ac:dyDescent="0.4">
      <c r="B35" s="37">
        <v>2019</v>
      </c>
      <c r="C35" s="39">
        <f>(C31+($E$30*$C$30))/(C25+($E$30*$C$30))</f>
        <v>0.91911303462458571</v>
      </c>
      <c r="D35" s="39">
        <f t="shared" ref="D35:F35" si="5">(D31+($E$30*$C$30))/(D25+($E$30*$C$30))</f>
        <v>1</v>
      </c>
      <c r="E35" s="39">
        <f t="shared" si="5"/>
        <v>0.56854263448664377</v>
      </c>
      <c r="F35" s="39">
        <f t="shared" si="5"/>
        <v>0.33333333333333331</v>
      </c>
    </row>
    <row r="36" spans="2:6" ht="15" thickBot="1" x14ac:dyDescent="0.4">
      <c r="B36" s="37">
        <v>2020</v>
      </c>
      <c r="C36" s="39">
        <f t="shared" ref="C36:F37" si="6">(C32+($E$30*$C$30))/(C26+($E$30*$C$30))</f>
        <v>-2.9011351327768577E-2</v>
      </c>
      <c r="D36" s="39">
        <f t="shared" si="6"/>
        <v>-2.9681690908090058E-2</v>
      </c>
      <c r="E36" s="39">
        <f t="shared" si="6"/>
        <v>-2.9511252245034144E-2</v>
      </c>
      <c r="F36" s="39">
        <f t="shared" si="6"/>
        <v>-2.9340137728455975E-2</v>
      </c>
    </row>
    <row r="37" spans="2:6" ht="15" thickBot="1" x14ac:dyDescent="0.4">
      <c r="B37" s="37">
        <v>2021</v>
      </c>
      <c r="C37" s="39">
        <f t="shared" si="6"/>
        <v>-2.7365387758225744E-2</v>
      </c>
      <c r="D37" s="39">
        <f t="shared" si="6"/>
        <v>-2.7365325157187259E-2</v>
      </c>
      <c r="E37" s="39">
        <f t="shared" si="6"/>
        <v>-2.73653564576707E-2</v>
      </c>
      <c r="F37" s="39">
        <f t="shared" si="6"/>
        <v>-2.7365427157627596E-2</v>
      </c>
    </row>
    <row r="38" spans="2:6" ht="15" thickBot="1" x14ac:dyDescent="0.4">
      <c r="B38" s="37">
        <v>2022</v>
      </c>
      <c r="C38" s="39">
        <f t="shared" ref="C38:F38" si="7">(C35+($E$30*$C$30))/(C28+($E$30*$C$30))</f>
        <v>-0.11558353382095143</v>
      </c>
      <c r="D38" s="39">
        <f t="shared" si="7"/>
        <v>-0.1203904416009363</v>
      </c>
      <c r="E38" s="39">
        <f t="shared" si="7"/>
        <v>-8.6781115346568752E-2</v>
      </c>
      <c r="F38" s="39">
        <f t="shared" si="7"/>
        <v>-6.9058593545073862E-2</v>
      </c>
    </row>
    <row r="40" spans="2:6" x14ac:dyDescent="0.35">
      <c r="B40" t="s">
        <v>22</v>
      </c>
    </row>
    <row r="41" spans="2:6" ht="15" thickBot="1" x14ac:dyDescent="0.4"/>
    <row r="42" spans="2:6" ht="15.5" thickBot="1" x14ac:dyDescent="0.4">
      <c r="B42" s="37" t="s">
        <v>0</v>
      </c>
      <c r="C42" s="43" t="s">
        <v>22</v>
      </c>
      <c r="D42" s="43" t="s">
        <v>24</v>
      </c>
      <c r="E42" s="13"/>
      <c r="F42" s="13"/>
    </row>
    <row r="43" spans="2:6" ht="15" thickBot="1" x14ac:dyDescent="0.4">
      <c r="B43" s="47">
        <v>2019</v>
      </c>
      <c r="C43" s="48">
        <f>1/4*SUM(C35:F35)</f>
        <v>0.7052472506111408</v>
      </c>
      <c r="D43" s="48">
        <f>RANK(C43,$C$43:$C$46)</f>
        <v>1</v>
      </c>
    </row>
    <row r="44" spans="2:6" ht="15" thickBot="1" x14ac:dyDescent="0.4">
      <c r="B44" s="45">
        <v>2020</v>
      </c>
      <c r="C44" s="46">
        <f t="shared" ref="C44:C46" si="8">1/4*SUM(C36:F36)</f>
        <v>-2.9386108052337191E-2</v>
      </c>
      <c r="D44" s="46">
        <f t="shared" ref="D44:D46" si="9">RANK(C44,$C$43:$C$46)</f>
        <v>3</v>
      </c>
    </row>
    <row r="45" spans="2:6" ht="15" thickBot="1" x14ac:dyDescent="0.4">
      <c r="B45" s="37">
        <v>2021</v>
      </c>
      <c r="C45" s="44">
        <f t="shared" si="8"/>
        <v>-2.7365374132677825E-2</v>
      </c>
      <c r="D45" s="44">
        <f t="shared" si="9"/>
        <v>2</v>
      </c>
    </row>
    <row r="46" spans="2:6" ht="15" thickBot="1" x14ac:dyDescent="0.4">
      <c r="B46" s="37">
        <v>2022</v>
      </c>
      <c r="C46" s="44">
        <f t="shared" si="8"/>
        <v>-9.7953421078382591E-2</v>
      </c>
      <c r="D46" s="44">
        <f t="shared" si="9"/>
        <v>4</v>
      </c>
    </row>
    <row r="48" spans="2:6" x14ac:dyDescent="0.35">
      <c r="B48" s="33" t="s">
        <v>23</v>
      </c>
      <c r="C48">
        <f>AVERAGE(C43:C46)</f>
        <v>0.1376355868369358</v>
      </c>
    </row>
  </sheetData>
  <mergeCells count="1">
    <mergeCell ref="B33:F3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LENGKAP</vt:lpstr>
      <vt:lpstr>Pengeluaran Konsumsi 2018-2022</vt:lpstr>
      <vt:lpstr> PENGGUNA PINJAMAN TEKFIN 2021</vt:lpstr>
      <vt:lpstr>PDRB</vt:lpstr>
      <vt:lpstr>PENGGUNA PINJAMAN TEKFIN 2022</vt:lpstr>
      <vt:lpstr>PEKERJA</vt:lpstr>
      <vt:lpstr>PENGANGGURAN</vt:lpstr>
      <vt:lpstr>TEKFIN BERIZIN</vt:lpstr>
      <vt:lpstr>PER KAPITA</vt:lpstr>
      <vt:lpstr>JUMLAH ADUAN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Chandra</dc:creator>
  <cp:lastModifiedBy>Juli Yandi Rahman</cp:lastModifiedBy>
  <dcterms:created xsi:type="dcterms:W3CDTF">2023-08-04T06:57:29Z</dcterms:created>
  <dcterms:modified xsi:type="dcterms:W3CDTF">2024-02-21T12:39:32Z</dcterms:modified>
</cp:coreProperties>
</file>